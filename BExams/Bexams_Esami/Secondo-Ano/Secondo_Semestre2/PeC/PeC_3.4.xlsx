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sca\Desktop\BS ideas\BExams\Bexams_Esami\Secondo-Ano\Secondo_Semestre2\PeC\"/>
    </mc:Choice>
  </mc:AlternateContent>
  <xr:revisionPtr revIDLastSave="0" documentId="13_ncr:1_{05ECC680-B52A-4314-B3DF-C809BAABCBAF}" xr6:coauthVersionLast="47" xr6:coauthVersionMax="47" xr10:uidLastSave="{00000000-0000-0000-0000-000000000000}"/>
  <bookViews>
    <workbookView xWindow="10886" yWindow="0" windowWidth="11143" windowHeight="13800" firstSheet="2" activeTab="6" xr2:uid="{00000000-000D-0000-FFFF-FFFF00000000}"/>
  </bookViews>
  <sheets>
    <sheet name="Anagrafica" sheetId="1" r:id="rId1"/>
    <sheet name="Es1" sheetId="2" r:id="rId2"/>
    <sheet name="Es2" sheetId="3" r:id="rId3"/>
    <sheet name="Es3" sheetId="4" r:id="rId4"/>
    <sheet name="Do1" sheetId="5" r:id="rId5"/>
    <sheet name="Do2" sheetId="6" r:id="rId6"/>
    <sheet name="Do3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2" l="1"/>
  <c r="D10" i="2"/>
  <c r="C10" i="2"/>
  <c r="C8" i="2"/>
  <c r="C9" i="2"/>
  <c r="D6" i="2"/>
  <c r="E16" i="4"/>
  <c r="D16" i="4"/>
  <c r="E12" i="4"/>
  <c r="D12" i="4"/>
  <c r="E11" i="4"/>
  <c r="D11" i="4"/>
  <c r="E10" i="4"/>
  <c r="D10" i="4"/>
  <c r="E9" i="4"/>
  <c r="D9" i="4"/>
</calcChain>
</file>

<file path=xl/sharedStrings.xml><?xml version="1.0" encoding="utf-8"?>
<sst xmlns="http://schemas.openxmlformats.org/spreadsheetml/2006/main" count="66" uniqueCount="64">
  <si>
    <t>Esame di Programmazione &amp; Controllo
Prova Generale del 19 maggio 2023</t>
  </si>
  <si>
    <t>Nome</t>
  </si>
  <si>
    <t>Cognome</t>
  </si>
  <si>
    <t>Matricola</t>
  </si>
  <si>
    <t>Classe</t>
  </si>
  <si>
    <t>Scaricare il file e lavorare offline sul file salvato</t>
  </si>
  <si>
    <t>Salvare frequentemente il lavoro svolto</t>
  </si>
  <si>
    <t>Utilizzare formule o calcoli, non scrivere i soli risultati numerici</t>
  </si>
  <si>
    <t>ESERCIZIO 1 (punti 6)</t>
  </si>
  <si>
    <t>A) Con riferimento alla tabella di seguito riportata si completino le informazioni mancanti per ciascuna delle due divisioni. Per il calcolo del Reddito Residuale si utilizzino i Redditi Operativi forniti in tabella senza considerare eventuali imposte</t>
  </si>
  <si>
    <t>Divisione ITALIA</t>
  </si>
  <si>
    <t>Divisione
USA</t>
  </si>
  <si>
    <t>Reddito Operativo</t>
  </si>
  <si>
    <t>Ricavi</t>
  </si>
  <si>
    <t>ROI</t>
  </si>
  <si>
    <t>Capitale Investito</t>
  </si>
  <si>
    <t>ROS</t>
  </si>
  <si>
    <t>Costo del capitale</t>
  </si>
  <si>
    <t>(d)</t>
  </si>
  <si>
    <t>Asset Turnover</t>
  </si>
  <si>
    <t>Reddito Residuale</t>
  </si>
  <si>
    <t>(h)</t>
  </si>
  <si>
    <t>B) Se le performance dei manager di divisione fossero valutate in base al Reddito Residuale, sulla base dei calcoli fatti per la precedente domanda si indichi quale delle due divisioni sarebbe incentivata a effettuare un investimento addizionale di 50.000€ per ottenere un reddito operativo atteso dall'investimento di 6.500€</t>
  </si>
  <si>
    <t>ESERCIZIO 2 (punti 10)</t>
  </si>
  <si>
    <t>La PaneSpeed produce e vende pane confezionato a supermercati e negozi alimentari in tutto il paese. Le attività di logistica e vendita sono gestite da tre Area Manager responsabili di altrettante aree geografiche: Nord, Centro e Sud. Il budget 2022 prevede i seguenti dati:</t>
  </si>
  <si>
    <t>Dati di budget anno 2022</t>
  </si>
  <si>
    <t>Nord</t>
  </si>
  <si>
    <t>Centro</t>
  </si>
  <si>
    <t>Sud</t>
  </si>
  <si>
    <t>Volumi di vendita in chilogrammi di pane (Kg.)</t>
  </si>
  <si>
    <t>Prezzo di vendita per chilogrammo di pane</t>
  </si>
  <si>
    <t>Costi standard:</t>
  </si>
  <si>
    <t xml:space="preserve">  Costo Materie prime per Kg. di pane (€ per Kg.)</t>
  </si>
  <si>
    <t xml:space="preserve">  Ore MOD per Kg. di pane (ore per Kg.)</t>
  </si>
  <si>
    <t xml:space="preserve">  Costo orario della MOD (€ per ora)</t>
  </si>
  <si>
    <t>• il costo annuo di ciascun Area manager è di 60.000 €;
• la forza vendita è composta da 12 venditori (5 per l'area Nord, 3 per il Centro e 4 per il Sud). Il costo fisso annuo di ogni singolo venditore è di € 40.000. Oltre allo stipendio fisso i venditori percepiscono una provvigione pari all'1% dei ricavi;
• i costi logistici previsti sono 100.000 € per il Nord, 80.000 € per il Centro e 120.000 € per il Sud;
• il pane viene confezionato e venduto in sacchetti contenenti 0,5 kg. di pane. Il costo standard di ogni sacchetto (costo del solo packaging) è pari a 0,2 €;
• la pubblicità istituzionale gestita a livello nazionale è prevista pari a 20.000 €;
• le spese generali e amministrative per l'intera azienda sono di 35.000 €.</t>
  </si>
  <si>
    <t>A) Utilizzando i dati forniti si predisponga il Conto Economico per Area di Risultato a budget evidenziando tutti i livelli di risultato possibili;
B) Utilizzando il grado di Leva Operativa si determini il nuovo risultato di segmento dell'Area Nord (inclusi tutti i costi controllabili e non controllabili da parte dell'Area Manager) derivante da un incremento dei volumi del 10% rispetto ai dati di budget;
C) Sapendo che a consuntivo per il 2022, per produrre e vendere 180.000KG di pane nell'Area Nord sono state effettivamente impiegate 5.600 ore MOD al costo di 140.000€, si effettui l'analisi degli scostamenti sul costo MOD per l'Area Nord.</t>
  </si>
  <si>
    <t>ESERCIZIO 3 (punti 9)</t>
  </si>
  <si>
    <t>La Protecta è un'azienda specializzata nella produzione di pellicola trasparente e alluminio per alimenti. Le due principali linee di prodotto per il 2022 hanno evidenziato i seguenti risultati:</t>
  </si>
  <si>
    <t>Dati consuntivi annui 2022</t>
  </si>
  <si>
    <t>Pellicola</t>
  </si>
  <si>
    <t>Alluminio</t>
  </si>
  <si>
    <t>Metri di prodotto venduti</t>
  </si>
  <si>
    <t xml:space="preserve">  Metri di prodotto per singolo imballo (confezione di prodotto)</t>
  </si>
  <si>
    <t>Ricavi di vendita</t>
  </si>
  <si>
    <t xml:space="preserve">  Costo materie prime utilizzate</t>
  </si>
  <si>
    <t xml:space="preserve">  Costo Manodopera impiegata</t>
  </si>
  <si>
    <t xml:space="preserve">  Costo Imballi utilizzati (confezioni)</t>
  </si>
  <si>
    <t xml:space="preserve">  Leasing impianti confezionamento</t>
  </si>
  <si>
    <t xml:space="preserve">  Stipendio supervisore produzione</t>
  </si>
  <si>
    <t xml:space="preserve">  Controllo Qualità</t>
  </si>
  <si>
    <t>Margine lordo industriale</t>
  </si>
  <si>
    <t>Sulla base dei dati consuntivi annui per il 2022 si risponda alle seguenti domande:
A) Si determini se sarebbe stato conveniente chiudere la linea Alluminio sapendo che il contratto di leasing per l'impianto dedicato sarebbe stato rescisso e che il supervisore sarebbe stato impiegato in un nuovo reparto di prossima apertura;
B) Per il 2023 si prevede una carenza confezioni da imballo, ipotizzando di ridurre la produzione e la vendita di uno dei due prodotti per scasità di imballi, quale prodotto converrebbe privilegiare e quale sacrificare?
C) Avendo capacità in eccesso, e nel caso di un ordine speciale di pellicola trasparente non imballata (senza confezione), quale sarebbe il prezzo minimo accettabile al metro per non vendere in perdita l'ordine speciale?</t>
  </si>
  <si>
    <t>DOMANDA 1 (punti 2)</t>
  </si>
  <si>
    <t>Si descrivano il Margine di Contribuzione e il Margine Lordo indicando:
- le differenti modalità di calcolo
- i differenti contesti di utilizzo (fornendo esempi specifici)</t>
  </si>
  <si>
    <t>Risposta</t>
  </si>
  <si>
    <t>DOMANDA 2 (punti 2)</t>
  </si>
  <si>
    <t>Si illustrino le differenze tra i sistemi di Activity Based Costing e i Cost Management Systems tradizionali per fasi di processo (si fornisca qualche esempio su modalità di calcolo dei costi e tipologia di driver/basi di ripartizione tra i due modelli)</t>
  </si>
  <si>
    <t>DOMANDA 3 (punti 2)</t>
  </si>
  <si>
    <t>Si elenchino i vantaggi del sistema di budget</t>
  </si>
  <si>
    <t>I principali vantaggi che scaturiscono dall'adozione del sistema di budget consistono nella chiara definizione di obiettivi e programmi e di un generale orientamento al futuro del pensiero strategico, nel supporto alla valutazione delle performance. Permette inoltre di coordinare e integrare le attività, e comunicare i propri piani e di ancorare le proprie valutazioni al presente e al futuro tramite l'analisi degli scostamenti.</t>
  </si>
  <si>
    <t>I metodi di allocazione dei costi tradizionali sono caratterizzati dalla centralità dei reparti (o unità di servizio) come criterio di tracciatura dei costi indiretti. I sistemi di allocazione ABC invece, danno centralità alla determinazione delle componenti chiave del sistema e delle relazioni che intercorrono tra loro per arrivare a calcolare ed interpretare le nuove informazioni di costo.</t>
  </si>
  <si>
    <t>MdC = Ricavi - Costi Variabili
- metodo del costo variabile
- analisi CVR
- finalità di reporting interno (slide19A-12)
Margine Lordo = Ricavi - Costo Industriale del venduto (o costi di produzione slide3-17)
- metodo del costo pieno
- finalità di comunicazione istituzionale (slide19A-12)</t>
  </si>
  <si>
    <t>ABC:
- attività anziché centri di costo
- imputazione di tutti i costi rilevanti, anche non industriali
- nascono per migliorare la misurazione del costo di prodotto (slide6-4)
- migliorano allocazione costi a oggetti diversi dall'unità di prodotto (clienti, ordini, .....)
- quando il controller vuole costruire conti economici (per cliente, area geografica, respons..)
- usato per individuare le aree che beneficerebbero di miglioramenti nei processi operativi
- supportare la presa di decisioni operative e strategiche (slide6-16)
FASI DI PROCESSO:
- utilizzo dei centri di costo
- imputazione dei costi di produzione (Full Cost Industriale)
- Allocazione dei costi indiretti in contesti a minore complessità del processo produttivo e della
struttura organizzativa rispetto all'ABC
- focus principale sul costo dei prodotti e servizi come oggetti di costo finali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</si>
</sst>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&quot;€&quot;_-;\-* #,##0\ &quot;€&quot;_-;_-* &quot;-&quot;\ &quot;€&quot;_-;_-@"/>
    <numFmt numFmtId="165" formatCode="0.0%"/>
    <numFmt numFmtId="166" formatCode="#,##0.0\ &quot;€&quot;"/>
    <numFmt numFmtId="167" formatCode="#,##0\ &quot;€&quot;"/>
    <numFmt numFmtId="168" formatCode="_-* #,##0\ &quot;€&quot;_-;\-* #,##0\ &quot;€&quot;_-;_-* &quot;-&quot;?\ &quot;€&quot;_-;_-@_-"/>
  </numFmts>
  <fonts count="10" x14ac:knownFonts="1">
    <font>
      <sz val="11"/>
      <name val="Calibri"/>
      <scheme val="minor"/>
    </font>
    <font>
      <b/>
      <sz val="11"/>
      <color rgb="FFFF0000"/>
      <name val="Arial"/>
    </font>
    <font>
      <sz val="11"/>
      <name val="Calibri"/>
    </font>
    <font>
      <sz val="11"/>
      <name val="Arial"/>
    </font>
    <font>
      <b/>
      <sz val="11"/>
      <name val="Arial"/>
    </font>
    <font>
      <sz val="15"/>
      <color rgb="FFFF0000"/>
      <name val="Arial"/>
    </font>
    <font>
      <b/>
      <sz val="12"/>
      <color rgb="FFFF0000"/>
      <name val="Arial"/>
    </font>
    <font>
      <b/>
      <i/>
      <sz val="11"/>
      <name val="Arial"/>
    </font>
    <font>
      <sz val="11"/>
      <name val="Arial"/>
    </font>
    <font>
      <sz val="1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A5A5A5"/>
        <bgColor rgb="FFA5A5A5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73">
    <xf numFmtId="0" fontId="0" fillId="0" borderId="0" xfId="0"/>
    <xf numFmtId="0" fontId="3" fillId="0" borderId="0" xfId="0" applyFont="1"/>
    <xf numFmtId="0" fontId="3" fillId="3" borderId="3" xfId="0" applyFont="1" applyFill="1" applyBorder="1"/>
    <xf numFmtId="0" fontId="4" fillId="0" borderId="4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4" fillId="3" borderId="3" xfId="0" applyFont="1" applyFill="1" applyBorder="1"/>
    <xf numFmtId="0" fontId="3" fillId="0" borderId="5" xfId="0" applyFont="1" applyBorder="1" applyAlignment="1">
      <alignment horizontal="left" vertical="top" wrapText="1"/>
    </xf>
    <xf numFmtId="0" fontId="1" fillId="0" borderId="0" xfId="0" applyFont="1"/>
    <xf numFmtId="0" fontId="5" fillId="0" borderId="0" xfId="0" applyFont="1" applyAlignment="1">
      <alignment vertical="center"/>
    </xf>
    <xf numFmtId="0" fontId="4" fillId="0" borderId="7" xfId="0" applyFont="1" applyBorder="1" applyAlignment="1">
      <alignment horizontal="center" vertical="center" wrapText="1"/>
    </xf>
    <xf numFmtId="0" fontId="3" fillId="0" borderId="8" xfId="0" applyFont="1" applyBorder="1"/>
    <xf numFmtId="0" fontId="3" fillId="0" borderId="9" xfId="0" applyFont="1" applyBorder="1"/>
    <xf numFmtId="0" fontId="3" fillId="0" borderId="11" xfId="0" applyFont="1" applyBorder="1"/>
    <xf numFmtId="0" fontId="3" fillId="0" borderId="12" xfId="0" applyFont="1" applyBorder="1"/>
    <xf numFmtId="164" fontId="3" fillId="0" borderId="13" xfId="0" applyNumberFormat="1" applyFont="1" applyBorder="1"/>
    <xf numFmtId="164" fontId="3" fillId="0" borderId="0" xfId="0" applyNumberFormat="1" applyFont="1"/>
    <xf numFmtId="0" fontId="3" fillId="0" borderId="14" xfId="0" applyFont="1" applyBorder="1"/>
    <xf numFmtId="0" fontId="3" fillId="0" borderId="15" xfId="0" applyFont="1" applyBorder="1"/>
    <xf numFmtId="0" fontId="7" fillId="0" borderId="0" xfId="0" applyFont="1" applyAlignment="1">
      <alignment horizontal="left"/>
    </xf>
    <xf numFmtId="0" fontId="8" fillId="0" borderId="8" xfId="0" applyFont="1" applyBorder="1"/>
    <xf numFmtId="0" fontId="3" fillId="0" borderId="17" xfId="0" applyFont="1" applyBorder="1"/>
    <xf numFmtId="3" fontId="8" fillId="0" borderId="10" xfId="0" applyNumberFormat="1" applyFont="1" applyBorder="1" applyAlignment="1">
      <alignment horizontal="center"/>
    </xf>
    <xf numFmtId="0" fontId="8" fillId="0" borderId="11" xfId="0" applyFont="1" applyBorder="1"/>
    <xf numFmtId="166" fontId="8" fillId="0" borderId="13" xfId="0" applyNumberFormat="1" applyFont="1" applyBorder="1" applyAlignment="1">
      <alignment horizontal="center"/>
    </xf>
    <xf numFmtId="4" fontId="8" fillId="0" borderId="13" xfId="0" applyNumberFormat="1" applyFont="1" applyBorder="1" applyAlignment="1">
      <alignment horizontal="center"/>
    </xf>
    <xf numFmtId="0" fontId="8" fillId="0" borderId="14" xfId="0" applyFont="1" applyBorder="1"/>
    <xf numFmtId="0" fontId="3" fillId="0" borderId="18" xfId="0" applyFont="1" applyBorder="1"/>
    <xf numFmtId="167" fontId="8" fillId="0" borderId="16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3" fontId="3" fillId="0" borderId="10" xfId="0" applyNumberFormat="1" applyFont="1" applyBorder="1"/>
    <xf numFmtId="1" fontId="3" fillId="0" borderId="13" xfId="0" applyNumberFormat="1" applyFont="1" applyBorder="1"/>
    <xf numFmtId="0" fontId="8" fillId="0" borderId="19" xfId="0" applyFont="1" applyBorder="1"/>
    <xf numFmtId="0" fontId="3" fillId="0" borderId="20" xfId="0" applyFont="1" applyBorder="1"/>
    <xf numFmtId="164" fontId="3" fillId="0" borderId="7" xfId="0" applyNumberFormat="1" applyFont="1" applyBorder="1"/>
    <xf numFmtId="0" fontId="8" fillId="0" borderId="0" xfId="0" applyFont="1"/>
    <xf numFmtId="164" fontId="3" fillId="0" borderId="8" xfId="0" applyNumberFormat="1" applyFont="1" applyBorder="1"/>
    <xf numFmtId="164" fontId="3" fillId="0" borderId="11" xfId="0" applyNumberFormat="1" applyFont="1" applyBorder="1"/>
    <xf numFmtId="9" fontId="3" fillId="0" borderId="6" xfId="1" applyFont="1" applyBorder="1"/>
    <xf numFmtId="164" fontId="3" fillId="0" borderId="6" xfId="0" applyNumberFormat="1" applyFont="1" applyBorder="1"/>
    <xf numFmtId="0" fontId="3" fillId="0" borderId="11" xfId="0" applyFont="1" applyBorder="1" applyAlignment="1">
      <alignment horizontal="center"/>
    </xf>
    <xf numFmtId="164" fontId="3" fillId="0" borderId="14" xfId="0" applyNumberFormat="1" applyFont="1" applyBorder="1"/>
    <xf numFmtId="168" fontId="3" fillId="0" borderId="21" xfId="0" applyNumberFormat="1" applyFont="1" applyBorder="1"/>
    <xf numFmtId="164" fontId="3" fillId="0" borderId="22" xfId="0" applyNumberFormat="1" applyFont="1" applyBorder="1"/>
    <xf numFmtId="165" fontId="3" fillId="0" borderId="22" xfId="0" applyNumberFormat="1" applyFont="1" applyBorder="1" applyAlignment="1">
      <alignment horizontal="center"/>
    </xf>
    <xf numFmtId="9" fontId="3" fillId="0" borderId="22" xfId="1" applyFont="1" applyBorder="1"/>
    <xf numFmtId="0" fontId="3" fillId="0" borderId="22" xfId="0" applyFont="1" applyBorder="1"/>
    <xf numFmtId="0" fontId="3" fillId="0" borderId="23" xfId="0" applyFont="1" applyBorder="1" applyAlignment="1">
      <alignment horizontal="center"/>
    </xf>
    <xf numFmtId="0" fontId="6" fillId="2" borderId="1" xfId="0" applyFont="1" applyFill="1" applyBorder="1" applyAlignment="1">
      <alignment horizontal="left" vertical="center"/>
    </xf>
    <xf numFmtId="0" fontId="2" fillId="0" borderId="6" xfId="0" applyFont="1" applyBorder="1"/>
    <xf numFmtId="0" fontId="2" fillId="0" borderId="2" xfId="0" applyFont="1" applyBorder="1"/>
    <xf numFmtId="0" fontId="4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/>
    <xf numFmtId="0" fontId="8" fillId="0" borderId="11" xfId="0" applyFont="1" applyBorder="1" applyAlignment="1">
      <alignment horizontal="left" vertical="center" wrapText="1"/>
    </xf>
    <xf numFmtId="0" fontId="2" fillId="0" borderId="12" xfId="0" applyFont="1" applyBorder="1"/>
    <xf numFmtId="0" fontId="2" fillId="0" borderId="11" xfId="0" applyFont="1" applyBorder="1"/>
    <xf numFmtId="0" fontId="3" fillId="0" borderId="8" xfId="0" applyFont="1" applyBorder="1" applyAlignment="1">
      <alignment horizontal="left" vertical="top"/>
    </xf>
    <xf numFmtId="0" fontId="2" fillId="0" borderId="17" xfId="0" applyFont="1" applyBorder="1"/>
    <xf numFmtId="0" fontId="2" fillId="0" borderId="9" xfId="0" applyFont="1" applyBorder="1"/>
    <xf numFmtId="0" fontId="2" fillId="0" borderId="14" xfId="0" applyFont="1" applyBorder="1"/>
    <xf numFmtId="0" fontId="2" fillId="0" borderId="18" xfId="0" applyFont="1" applyBorder="1"/>
    <xf numFmtId="0" fontId="2" fillId="0" borderId="15" xfId="0" applyFont="1" applyBorder="1"/>
    <xf numFmtId="0" fontId="3" fillId="0" borderId="8" xfId="0" applyFont="1" applyBorder="1" applyAlignment="1">
      <alignment horizontal="left" vertical="top" wrapText="1"/>
    </xf>
    <xf numFmtId="0" fontId="2" fillId="0" borderId="17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0" fillId="0" borderId="0" xfId="0" applyAlignment="1">
      <alignment wrapText="1"/>
    </xf>
    <xf numFmtId="0" fontId="2" fillId="0" borderId="12" xfId="0" applyFont="1" applyBorder="1" applyAlignment="1">
      <alignment wrapText="1"/>
    </xf>
    <xf numFmtId="0" fontId="2" fillId="0" borderId="14" xfId="0" applyFont="1" applyBorder="1" applyAlignment="1">
      <alignment wrapText="1"/>
    </xf>
    <xf numFmtId="0" fontId="2" fillId="0" borderId="18" xfId="0" applyFont="1" applyBorder="1" applyAlignment="1">
      <alignment wrapText="1"/>
    </xf>
    <xf numFmtId="0" fontId="2" fillId="0" borderId="15" xfId="0" applyFont="1" applyBorder="1" applyAlignment="1">
      <alignment wrapText="1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5</xdr:col>
      <xdr:colOff>450604</xdr:colOff>
      <xdr:row>32</xdr:row>
      <xdr:rowOff>29029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B42C72-F43A-0BA2-075E-DCE54AF21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991428"/>
          <a:ext cx="5929747" cy="26996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6</xdr:col>
      <xdr:colOff>489821</xdr:colOff>
      <xdr:row>36</xdr:row>
      <xdr:rowOff>122901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9B1AF6-7834-8416-5F61-FE5DE4654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919263"/>
          <a:ext cx="7451411" cy="3292050"/>
        </a:xfrm>
        <a:prstGeom prst="rect">
          <a:avLst/>
        </a:prstGeom>
      </xdr:spPr>
    </xdr:pic>
    <xdr:clientData/>
  </xdr:twoCellAnchor>
  <xdr:twoCellAnchor editAs="oneCell">
    <xdr:from>
      <xdr:col>0</xdr:col>
      <xdr:colOff>87789</xdr:colOff>
      <xdr:row>37</xdr:row>
      <xdr:rowOff>43894</xdr:rowOff>
    </xdr:from>
    <xdr:to>
      <xdr:col>6</xdr:col>
      <xdr:colOff>316035</xdr:colOff>
      <xdr:row>48</xdr:row>
      <xdr:rowOff>35115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475082-1241-E4CE-37DF-FCF9E81C0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789" y="10130738"/>
          <a:ext cx="7189836" cy="18259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166797</xdr:rowOff>
    </xdr:from>
    <xdr:to>
      <xdr:col>5</xdr:col>
      <xdr:colOff>1055597</xdr:colOff>
      <xdr:row>37</xdr:row>
      <xdr:rowOff>70230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7B344B-0ED2-CC37-1D65-CEE67BAFC5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48594"/>
          <a:ext cx="8008408" cy="29057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5</xdr:col>
      <xdr:colOff>991767</xdr:colOff>
      <xdr:row>54</xdr:row>
      <xdr:rowOff>35116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80BA65-47AD-D2C2-C282-823D8E760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050945"/>
          <a:ext cx="7944578" cy="27038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5</xdr:col>
      <xdr:colOff>1079793</xdr:colOff>
      <xdr:row>64</xdr:row>
      <xdr:rowOff>57816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EE36397-07AF-D608-0BEB-7B62571A5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1886498"/>
          <a:ext cx="8032604" cy="155899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187099</xdr:colOff>
      <xdr:row>11</xdr:row>
      <xdr:rowOff>59531</xdr:rowOff>
    </xdr:from>
    <xdr:to>
      <xdr:col>3</xdr:col>
      <xdr:colOff>569896</xdr:colOff>
      <xdr:row>26</xdr:row>
      <xdr:rowOff>153490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04C42D-D0FC-0E11-EC37-B0639429E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099" y="2202656"/>
          <a:ext cx="3674025" cy="26452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workbookViewId="0"/>
  </sheetViews>
  <sheetFormatPr defaultColWidth="14.4609375" defaultRowHeight="15" customHeight="1" x14ac:dyDescent="0.4"/>
  <cols>
    <col min="1" max="1" width="20" customWidth="1"/>
    <col min="2" max="2" width="41.84375" customWidth="1"/>
    <col min="3" max="11" width="8.84375" customWidth="1"/>
  </cols>
  <sheetData>
    <row r="1" spans="1:11" ht="51.75" customHeight="1" x14ac:dyDescent="0.4">
      <c r="A1" s="52" t="s">
        <v>0</v>
      </c>
      <c r="B1" s="50"/>
      <c r="C1" s="1"/>
      <c r="D1" s="1"/>
      <c r="E1" s="1"/>
      <c r="F1" s="1"/>
      <c r="G1" s="1"/>
      <c r="H1" s="1"/>
      <c r="I1" s="1"/>
      <c r="J1" s="1"/>
      <c r="K1" s="1"/>
    </row>
    <row r="2" spans="1:11" ht="13.5" customHeight="1" x14ac:dyDescent="0.4">
      <c r="A2" s="2"/>
      <c r="B2" s="2"/>
      <c r="C2" s="1"/>
      <c r="D2" s="1"/>
      <c r="E2" s="1"/>
      <c r="F2" s="1"/>
      <c r="G2" s="1"/>
      <c r="H2" s="1"/>
      <c r="I2" s="1"/>
      <c r="J2" s="1"/>
      <c r="K2" s="1"/>
    </row>
    <row r="3" spans="1:11" ht="13.5" customHeight="1" x14ac:dyDescent="0.4">
      <c r="A3" s="2"/>
      <c r="B3" s="2"/>
      <c r="C3" s="1"/>
      <c r="D3" s="1"/>
      <c r="E3" s="1"/>
      <c r="F3" s="1"/>
      <c r="G3" s="1"/>
      <c r="H3" s="1"/>
      <c r="I3" s="1"/>
      <c r="J3" s="1"/>
      <c r="K3" s="1"/>
    </row>
    <row r="4" spans="1:11" ht="13.5" customHeight="1" x14ac:dyDescent="0.4">
      <c r="A4" s="3" t="s">
        <v>1</v>
      </c>
      <c r="B4" s="4"/>
      <c r="C4" s="1"/>
      <c r="D4" s="1"/>
      <c r="E4" s="1"/>
      <c r="F4" s="1"/>
      <c r="G4" s="1"/>
      <c r="H4" s="1"/>
      <c r="I4" s="1"/>
      <c r="J4" s="1"/>
      <c r="K4" s="1"/>
    </row>
    <row r="5" spans="1:11" ht="13.5" customHeight="1" x14ac:dyDescent="0.4">
      <c r="A5" s="5"/>
      <c r="B5" s="2"/>
      <c r="C5" s="1"/>
      <c r="D5" s="1"/>
      <c r="E5" s="1"/>
      <c r="F5" s="1"/>
      <c r="G5" s="1"/>
      <c r="H5" s="1"/>
      <c r="I5" s="1"/>
      <c r="J5" s="1"/>
      <c r="K5" s="1"/>
    </row>
    <row r="6" spans="1:11" ht="13.5" customHeight="1" x14ac:dyDescent="0.4">
      <c r="A6" s="3" t="s">
        <v>2</v>
      </c>
      <c r="B6" s="4"/>
      <c r="C6" s="1"/>
      <c r="D6" s="1"/>
      <c r="E6" s="1"/>
      <c r="F6" s="1"/>
      <c r="G6" s="1"/>
      <c r="H6" s="1"/>
      <c r="I6" s="1"/>
      <c r="J6" s="1"/>
      <c r="K6" s="1"/>
    </row>
    <row r="7" spans="1:11" ht="13.5" customHeight="1" x14ac:dyDescent="0.4">
      <c r="A7" s="5"/>
      <c r="B7" s="2"/>
      <c r="C7" s="1"/>
      <c r="D7" s="1"/>
      <c r="E7" s="1"/>
      <c r="F7" s="1"/>
      <c r="G7" s="1"/>
      <c r="H7" s="1"/>
      <c r="I7" s="1"/>
      <c r="J7" s="1"/>
      <c r="K7" s="1"/>
    </row>
    <row r="8" spans="1:11" ht="13.5" customHeight="1" x14ac:dyDescent="0.4">
      <c r="A8" s="3" t="s">
        <v>3</v>
      </c>
      <c r="B8" s="6"/>
      <c r="C8" s="1"/>
      <c r="D8" s="1"/>
      <c r="E8" s="1"/>
      <c r="F8" s="1"/>
      <c r="G8" s="1"/>
      <c r="H8" s="1"/>
      <c r="I8" s="1"/>
      <c r="J8" s="1"/>
      <c r="K8" s="1"/>
    </row>
    <row r="9" spans="1:11" ht="13.5" customHeight="1" x14ac:dyDescent="0.4">
      <c r="A9" s="5"/>
      <c r="B9" s="2"/>
      <c r="C9" s="1"/>
      <c r="D9" s="1"/>
      <c r="E9" s="1"/>
      <c r="F9" s="1"/>
      <c r="G9" s="1"/>
      <c r="H9" s="1"/>
      <c r="I9" s="1"/>
      <c r="J9" s="1"/>
      <c r="K9" s="1"/>
    </row>
    <row r="10" spans="1:11" ht="13.5" customHeight="1" x14ac:dyDescent="0.4">
      <c r="A10" s="3" t="s">
        <v>4</v>
      </c>
      <c r="B10" s="6"/>
      <c r="C10" s="1"/>
      <c r="D10" s="1"/>
      <c r="E10" s="1"/>
      <c r="F10" s="1"/>
      <c r="G10" s="1"/>
      <c r="H10" s="1"/>
      <c r="I10" s="1"/>
      <c r="J10" s="1"/>
      <c r="K10" s="1"/>
    </row>
    <row r="11" spans="1:11" ht="13.5" customHeight="1" x14ac:dyDescent="0.4">
      <c r="A11" s="2"/>
      <c r="B11" s="2"/>
      <c r="C11" s="1"/>
      <c r="D11" s="1"/>
      <c r="E11" s="1"/>
      <c r="F11" s="1"/>
      <c r="G11" s="1"/>
      <c r="H11" s="1"/>
      <c r="I11" s="1"/>
      <c r="J11" s="1"/>
      <c r="K11" s="1"/>
    </row>
    <row r="12" spans="1:11" ht="13.5" customHeight="1" x14ac:dyDescent="0.4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</row>
    <row r="13" spans="1:11" ht="13.5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13.5" customHeight="1" x14ac:dyDescent="0.4">
      <c r="A14" s="7" t="s">
        <v>5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3.5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13.5" customHeight="1" x14ac:dyDescent="0.4">
      <c r="A16" s="7" t="s">
        <v>6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13.5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13.5" customHeight="1" x14ac:dyDescent="0.4">
      <c r="A18" s="53" t="s">
        <v>7</v>
      </c>
      <c r="B18" s="54"/>
      <c r="C18" s="1"/>
      <c r="D18" s="1"/>
      <c r="E18" s="1"/>
      <c r="F18" s="1"/>
      <c r="G18" s="1"/>
      <c r="H18" s="1"/>
      <c r="I18" s="1"/>
      <c r="J18" s="1"/>
      <c r="K18" s="1"/>
    </row>
    <row r="19" spans="1:11" ht="13.5" customHeight="1" x14ac:dyDescent="0.4">
      <c r="A19" s="54"/>
      <c r="B19" s="54"/>
      <c r="C19" s="1"/>
      <c r="D19" s="1"/>
      <c r="E19" s="1"/>
      <c r="F19" s="1"/>
      <c r="G19" s="1"/>
      <c r="H19" s="1"/>
      <c r="I19" s="1"/>
      <c r="J19" s="1"/>
      <c r="K19" s="1"/>
    </row>
    <row r="20" spans="1:11" ht="13.5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13.5" customHeight="1" x14ac:dyDescent="0.4">
      <c r="A21" s="8"/>
      <c r="B21" s="8"/>
      <c r="C21" s="1"/>
      <c r="D21" s="1"/>
      <c r="E21" s="1"/>
      <c r="F21" s="1"/>
      <c r="G21" s="1"/>
      <c r="H21" s="1"/>
      <c r="I21" s="1"/>
      <c r="J21" s="1"/>
      <c r="K21" s="1"/>
    </row>
    <row r="22" spans="1:11" ht="13.5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13.5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3.5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13.5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3.5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3.5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13.5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3.5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3.5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13.5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3.5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3.5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3.5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3.5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3.5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3.5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3.5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13.5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3.5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3.5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3.5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13.5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3.5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13.5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3.5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3.5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3.5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3.5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3.5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3.5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3.5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3.5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3.5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3.5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3.5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3.5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3.5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3.5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3.5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3.5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3.5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3.5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3.5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3.5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3.5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3.5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3.5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3.5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3.5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3.5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3.5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3.5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3.5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3.5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3.5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3.5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3.5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3.5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3.5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3.5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3.5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3.5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3.5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3.5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3.5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3.5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3.5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3.5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3.5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3.5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3.5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3.5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3.5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3.5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3.5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3.5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3.5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3.5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3.5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2">
    <mergeCell ref="A1:B1"/>
    <mergeCell ref="A18:B1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zoomScale="75" zoomScaleNormal="75" workbookViewId="0">
      <selection activeCell="A17" sqref="A17"/>
    </sheetView>
  </sheetViews>
  <sheetFormatPr defaultColWidth="14.4609375" defaultRowHeight="15" customHeight="1" x14ac:dyDescent="0.4"/>
  <cols>
    <col min="1" max="7" width="15.4609375" customWidth="1"/>
    <col min="8" max="10" width="8.84375" customWidth="1"/>
    <col min="11" max="11" width="10.3046875" customWidth="1"/>
  </cols>
  <sheetData>
    <row r="1" spans="1:11" ht="24.75" customHeight="1" x14ac:dyDescent="0.4">
      <c r="A1" s="48" t="s">
        <v>8</v>
      </c>
      <c r="B1" s="49"/>
      <c r="C1" s="49"/>
      <c r="D1" s="49"/>
      <c r="E1" s="49"/>
      <c r="F1" s="49"/>
      <c r="G1" s="50"/>
      <c r="H1" s="1"/>
      <c r="I1" s="1"/>
      <c r="J1" s="1"/>
      <c r="K1" s="1"/>
    </row>
    <row r="2" spans="1:11" ht="13.5" customHeigh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60.75" customHeight="1" x14ac:dyDescent="0.4">
      <c r="A3" s="51" t="s">
        <v>9</v>
      </c>
      <c r="B3" s="49"/>
      <c r="C3" s="49"/>
      <c r="D3" s="49"/>
      <c r="E3" s="49"/>
      <c r="F3" s="49"/>
      <c r="G3" s="50"/>
      <c r="H3" s="1"/>
      <c r="I3" s="1"/>
      <c r="J3" s="1"/>
      <c r="K3" s="1"/>
    </row>
    <row r="4" spans="1:11" ht="13.5" customHeight="1" x14ac:dyDescent="0.4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3.5" customHeight="1" x14ac:dyDescent="0.4">
      <c r="A5" s="1"/>
      <c r="B5" s="1"/>
      <c r="C5" s="9" t="s">
        <v>10</v>
      </c>
      <c r="D5" s="9" t="s">
        <v>11</v>
      </c>
      <c r="E5" s="1"/>
      <c r="F5" s="1"/>
      <c r="G5" s="1"/>
      <c r="H5" s="1"/>
      <c r="I5" s="1"/>
      <c r="J5" s="1"/>
      <c r="K5" s="1"/>
    </row>
    <row r="6" spans="1:11" ht="13.5" customHeight="1" x14ac:dyDescent="0.4">
      <c r="A6" s="10" t="s">
        <v>12</v>
      </c>
      <c r="B6" s="11"/>
      <c r="C6" s="36">
        <v>45000</v>
      </c>
      <c r="D6" s="42">
        <f>D8*D9</f>
        <v>90000</v>
      </c>
      <c r="F6" s="1"/>
      <c r="G6" s="1"/>
      <c r="H6" s="1"/>
      <c r="I6" s="1"/>
      <c r="J6" s="1"/>
      <c r="K6" s="1"/>
    </row>
    <row r="7" spans="1:11" ht="13.5" customHeight="1" x14ac:dyDescent="0.4">
      <c r="A7" s="12" t="s">
        <v>13</v>
      </c>
      <c r="B7" s="13"/>
      <c r="C7" s="37">
        <v>562500</v>
      </c>
      <c r="D7" s="43">
        <v>1000000</v>
      </c>
      <c r="E7" s="1"/>
      <c r="F7" s="1"/>
      <c r="G7" s="1"/>
      <c r="H7" s="1"/>
      <c r="I7" s="1"/>
      <c r="J7" s="1"/>
      <c r="K7" s="1"/>
    </row>
    <row r="8" spans="1:11" ht="13.5" customHeight="1" x14ac:dyDescent="0.4">
      <c r="A8" s="12" t="s">
        <v>14</v>
      </c>
      <c r="B8" s="13"/>
      <c r="C8" s="38">
        <f>C6/C9</f>
        <v>0.15</v>
      </c>
      <c r="D8" s="44">
        <v>0.22500000000000001</v>
      </c>
      <c r="F8" s="1"/>
      <c r="G8" s="1"/>
      <c r="H8" s="1"/>
      <c r="I8" s="1"/>
      <c r="J8" s="1"/>
      <c r="K8" s="1"/>
    </row>
    <row r="9" spans="1:11" ht="13.5" customHeight="1" x14ac:dyDescent="0.4">
      <c r="A9" s="12" t="s">
        <v>15</v>
      </c>
      <c r="B9" s="13"/>
      <c r="C9" s="39">
        <f>C7/C12</f>
        <v>300000</v>
      </c>
      <c r="D9" s="43">
        <v>400000</v>
      </c>
      <c r="F9" s="1"/>
      <c r="G9" s="1"/>
      <c r="H9" s="1"/>
      <c r="I9" s="1"/>
      <c r="J9" s="1"/>
      <c r="K9" s="1"/>
    </row>
    <row r="10" spans="1:11" ht="13.5" customHeight="1" x14ac:dyDescent="0.4">
      <c r="A10" s="12" t="s">
        <v>16</v>
      </c>
      <c r="B10" s="13"/>
      <c r="C10" s="38">
        <f>C6/C7</f>
        <v>0.08</v>
      </c>
      <c r="D10" s="45">
        <f>D6/D7</f>
        <v>0.09</v>
      </c>
      <c r="G10" s="1"/>
      <c r="H10" s="1"/>
      <c r="I10" s="1"/>
      <c r="J10" s="1"/>
      <c r="K10" s="15"/>
    </row>
    <row r="11" spans="1:11" ht="13.5" customHeight="1" x14ac:dyDescent="0.4">
      <c r="A11" s="12" t="s">
        <v>17</v>
      </c>
      <c r="B11" s="13"/>
      <c r="C11" s="40" t="s">
        <v>18</v>
      </c>
      <c r="D11" s="44">
        <v>0.15</v>
      </c>
      <c r="E11" s="1"/>
      <c r="F11" s="1"/>
      <c r="G11" s="1"/>
      <c r="H11" s="1"/>
      <c r="I11" s="1"/>
      <c r="J11" s="1"/>
      <c r="K11" s="1"/>
    </row>
    <row r="12" spans="1:11" ht="13.5" customHeight="1" x14ac:dyDescent="0.4">
      <c r="A12" s="12" t="s">
        <v>19</v>
      </c>
      <c r="B12" s="13"/>
      <c r="C12" s="12">
        <v>1.875</v>
      </c>
      <c r="D12" s="46">
        <f>D7/D9</f>
        <v>2.5</v>
      </c>
      <c r="F12" s="1"/>
      <c r="G12" s="1"/>
      <c r="H12" s="1"/>
      <c r="I12" s="1"/>
      <c r="J12" s="1"/>
      <c r="K12" s="1"/>
    </row>
    <row r="13" spans="1:11" ht="13.5" customHeight="1" x14ac:dyDescent="0.4">
      <c r="A13" s="16" t="s">
        <v>20</v>
      </c>
      <c r="B13" s="17"/>
      <c r="C13" s="41">
        <v>9000</v>
      </c>
      <c r="D13" s="47" t="s">
        <v>21</v>
      </c>
      <c r="E13" s="1"/>
      <c r="F13" s="1"/>
      <c r="G13" s="1"/>
      <c r="H13" s="1"/>
      <c r="I13" s="1"/>
      <c r="J13" s="1"/>
      <c r="K13" s="1"/>
    </row>
    <row r="14" spans="1:11" ht="13.5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58.5" customHeight="1" x14ac:dyDescent="0.4">
      <c r="A15" s="51" t="s">
        <v>22</v>
      </c>
      <c r="B15" s="49"/>
      <c r="C15" s="49"/>
      <c r="D15" s="49"/>
      <c r="E15" s="49"/>
      <c r="F15" s="49"/>
      <c r="G15" s="50"/>
      <c r="H15" s="1"/>
      <c r="I15" s="1"/>
      <c r="J15" s="1"/>
      <c r="K15" s="1"/>
    </row>
    <row r="16" spans="1:11" ht="13.5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13.5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13.5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3.5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3.5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13.5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3.5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13.5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3.5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13.5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3.5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3.5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13.5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3.5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3.5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13.5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3.5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3.5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3.5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3.5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3.5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3.5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3.5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13.5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3.5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3.5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3.5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13.5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3.5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13.5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3.5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3.5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3.5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3.5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3.5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3.5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3.5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3.5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3.5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3.5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3.5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3.5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3.5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3.5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3.5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3.5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3.5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3.5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3.5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3.5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3.5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3.5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3.5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3.5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3.5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3.5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3.5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3.5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3.5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3.5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3.5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3.5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3.5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3.5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3.5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3.5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3.5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3.5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3.5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3.5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3.5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3.5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3.5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3.5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3.5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3.5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3.5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3.5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3.5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3.5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3.5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3.5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3.5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3.5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3.5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3">
    <mergeCell ref="A1:G1"/>
    <mergeCell ref="A3:G3"/>
    <mergeCell ref="A15:G15"/>
  </mergeCells>
  <pageMargins left="0.19685039370078741" right="0.19685039370078741" top="0.19685039370078741" bottom="0.19685039370078741" header="0" footer="0"/>
  <pageSetup paperSize="9" scale="9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7"/>
  <sheetViews>
    <sheetView topLeftCell="A15" zoomScale="62" workbookViewId="0">
      <selection activeCell="I45" sqref="I45"/>
    </sheetView>
  </sheetViews>
  <sheetFormatPr defaultColWidth="14.4609375" defaultRowHeight="15" customHeight="1" x14ac:dyDescent="0.4"/>
  <cols>
    <col min="1" max="1" width="13.69140625" customWidth="1"/>
    <col min="2" max="2" width="26.765625" bestFit="1" customWidth="1"/>
    <col min="3" max="3" width="14.07421875" bestFit="1" customWidth="1"/>
    <col min="4" max="7" width="14.69140625" customWidth="1"/>
    <col min="8" max="8" width="8.84375" customWidth="1"/>
    <col min="9" max="9" width="12.53515625" bestFit="1" customWidth="1"/>
    <col min="10" max="10" width="9.84375" bestFit="1" customWidth="1"/>
    <col min="11" max="11" width="14.07421875" bestFit="1" customWidth="1"/>
  </cols>
  <sheetData>
    <row r="1" spans="1:11" ht="24.75" customHeight="1" x14ac:dyDescent="0.4">
      <c r="A1" s="48" t="s">
        <v>23</v>
      </c>
      <c r="B1" s="49"/>
      <c r="C1" s="49"/>
      <c r="D1" s="49"/>
      <c r="E1" s="49"/>
      <c r="F1" s="49"/>
      <c r="G1" s="49"/>
      <c r="H1" s="50"/>
      <c r="I1" s="1"/>
      <c r="J1" s="1"/>
      <c r="K1" s="1"/>
    </row>
    <row r="2" spans="1:11" ht="13.5" customHeigh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60.75" customHeight="1" x14ac:dyDescent="0.4">
      <c r="A3" s="51" t="s">
        <v>24</v>
      </c>
      <c r="B3" s="49"/>
      <c r="C3" s="49"/>
      <c r="D3" s="49"/>
      <c r="E3" s="49"/>
      <c r="F3" s="49"/>
      <c r="G3" s="49"/>
      <c r="H3" s="50"/>
      <c r="I3" s="1"/>
      <c r="J3" s="1"/>
      <c r="K3" s="1"/>
    </row>
    <row r="4" spans="1:11" ht="13.5" customHeight="1" x14ac:dyDescent="0.4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3.5" customHeight="1" x14ac:dyDescent="0.4">
      <c r="A5" s="18" t="s">
        <v>25</v>
      </c>
      <c r="B5" s="1"/>
      <c r="C5" s="1"/>
      <c r="D5" s="1"/>
      <c r="E5" s="9" t="s">
        <v>26</v>
      </c>
      <c r="F5" s="9" t="s">
        <v>27</v>
      </c>
      <c r="G5" s="9" t="s">
        <v>28</v>
      </c>
      <c r="H5" s="1"/>
      <c r="I5" s="1"/>
      <c r="J5" s="1"/>
      <c r="K5" s="1"/>
    </row>
    <row r="6" spans="1:11" ht="13.5" customHeight="1" x14ac:dyDescent="0.4">
      <c r="A6" s="19" t="s">
        <v>29</v>
      </c>
      <c r="B6" s="20"/>
      <c r="C6" s="20"/>
      <c r="D6" s="11"/>
      <c r="E6" s="21">
        <v>180000</v>
      </c>
      <c r="F6" s="21">
        <v>120000</v>
      </c>
      <c r="G6" s="21">
        <v>220000</v>
      </c>
      <c r="H6" s="1"/>
      <c r="I6" s="1"/>
      <c r="J6" s="1"/>
      <c r="K6" s="1"/>
    </row>
    <row r="7" spans="1:11" ht="13.5" customHeight="1" x14ac:dyDescent="0.4">
      <c r="A7" s="22" t="s">
        <v>30</v>
      </c>
      <c r="B7" s="1"/>
      <c r="C7" s="1"/>
      <c r="D7" s="13"/>
      <c r="E7" s="23">
        <v>5</v>
      </c>
      <c r="F7" s="23">
        <v>4.5</v>
      </c>
      <c r="G7" s="23">
        <v>3.5</v>
      </c>
      <c r="H7" s="1"/>
      <c r="I7" s="1"/>
      <c r="J7" s="1"/>
      <c r="K7" s="1"/>
    </row>
    <row r="8" spans="1:11" ht="13.5" customHeight="1" x14ac:dyDescent="0.4">
      <c r="A8" s="22" t="s">
        <v>31</v>
      </c>
      <c r="B8" s="1"/>
      <c r="C8" s="1"/>
      <c r="D8" s="13"/>
      <c r="E8" s="23"/>
      <c r="F8" s="23"/>
      <c r="G8" s="23"/>
      <c r="H8" s="1"/>
      <c r="I8" s="1"/>
      <c r="J8" s="1"/>
      <c r="K8" s="1"/>
    </row>
    <row r="9" spans="1:11" ht="13.5" customHeight="1" x14ac:dyDescent="0.4">
      <c r="A9" s="22" t="s">
        <v>32</v>
      </c>
      <c r="B9" s="1"/>
      <c r="C9" s="1"/>
      <c r="D9" s="13"/>
      <c r="E9" s="23">
        <v>0.5</v>
      </c>
      <c r="F9" s="23">
        <v>0.5</v>
      </c>
      <c r="G9" s="23">
        <v>0.5</v>
      </c>
      <c r="H9" s="1"/>
      <c r="I9" s="1"/>
      <c r="J9" s="1"/>
      <c r="K9" s="1"/>
    </row>
    <row r="10" spans="1:11" ht="13.5" customHeight="1" x14ac:dyDescent="0.4">
      <c r="A10" s="22" t="s">
        <v>33</v>
      </c>
      <c r="B10" s="1"/>
      <c r="C10" s="1"/>
      <c r="D10" s="13"/>
      <c r="E10" s="24">
        <v>0.03</v>
      </c>
      <c r="F10" s="24">
        <v>0.03</v>
      </c>
      <c r="G10" s="24">
        <v>0.03</v>
      </c>
      <c r="H10" s="1"/>
      <c r="I10" s="1"/>
      <c r="J10" s="1"/>
      <c r="K10" s="1"/>
    </row>
    <row r="11" spans="1:11" ht="13.5" customHeight="1" x14ac:dyDescent="0.4">
      <c r="A11" s="25" t="s">
        <v>34</v>
      </c>
      <c r="B11" s="26"/>
      <c r="C11" s="26"/>
      <c r="D11" s="17"/>
      <c r="E11" s="27">
        <v>26</v>
      </c>
      <c r="F11" s="27">
        <v>25</v>
      </c>
      <c r="G11" s="27">
        <v>25</v>
      </c>
      <c r="H11" s="1"/>
      <c r="I11" s="1"/>
      <c r="J11" s="1"/>
      <c r="K11" s="15"/>
    </row>
    <row r="12" spans="1:11" ht="13.5" customHeight="1" x14ac:dyDescent="0.4">
      <c r="A12" s="1"/>
      <c r="B12" s="1"/>
      <c r="C12" s="28"/>
      <c r="D12" s="29"/>
      <c r="E12" s="1"/>
      <c r="F12" s="1"/>
      <c r="G12" s="1"/>
      <c r="H12" s="1"/>
      <c r="I12" s="1"/>
      <c r="J12" s="1"/>
      <c r="K12" s="1"/>
    </row>
    <row r="13" spans="1:11" ht="143.25" customHeight="1" x14ac:dyDescent="0.4">
      <c r="A13" s="51" t="s">
        <v>35</v>
      </c>
      <c r="B13" s="49"/>
      <c r="C13" s="49"/>
      <c r="D13" s="49"/>
      <c r="E13" s="49"/>
      <c r="F13" s="49"/>
      <c r="G13" s="49"/>
      <c r="H13" s="50"/>
      <c r="I13" s="1"/>
      <c r="J13" s="1"/>
      <c r="K13" s="1"/>
    </row>
    <row r="14" spans="1:11" ht="13.5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33.5" customHeight="1" x14ac:dyDescent="0.4">
      <c r="A15" s="51" t="s">
        <v>36</v>
      </c>
      <c r="B15" s="49"/>
      <c r="C15" s="49"/>
      <c r="D15" s="49"/>
      <c r="E15" s="49"/>
      <c r="F15" s="49"/>
      <c r="G15" s="49"/>
      <c r="H15" s="50"/>
      <c r="I15" s="1"/>
      <c r="J15" s="1"/>
      <c r="K15" s="1"/>
    </row>
    <row r="16" spans="1:11" ht="13.5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13.5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13.5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3.5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3.5" customHeight="1" x14ac:dyDescent="0.4">
      <c r="A20" s="1"/>
      <c r="B20" s="1"/>
      <c r="D20" s="1"/>
      <c r="E20" s="1"/>
      <c r="F20" s="1"/>
      <c r="G20" s="1"/>
      <c r="H20" s="1"/>
      <c r="I20" s="1"/>
      <c r="J20" s="1"/>
      <c r="K20" s="1"/>
    </row>
    <row r="21" spans="1:11" ht="13.5" customHeight="1" x14ac:dyDescent="0.4">
      <c r="A21" s="1"/>
      <c r="B21" s="1"/>
      <c r="D21" s="1"/>
      <c r="E21" s="1"/>
      <c r="F21" s="1"/>
      <c r="G21" s="1"/>
      <c r="H21" s="1"/>
      <c r="I21" s="1"/>
      <c r="J21" s="1"/>
      <c r="K21" s="1"/>
    </row>
    <row r="22" spans="1:11" ht="13.5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13.5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3.5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13.5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3.5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3.5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13.5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3.5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3.5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13.5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3.5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3.5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3.5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3.5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3.5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3.5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3.5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13.5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3.5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3.5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3.5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13.5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3.5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13.5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3.5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3.5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3.5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3.5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3.5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3.5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3.5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3.5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3.5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3.5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3.5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3.5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3.5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3.5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3.5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3.5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3.5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3.5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3.5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3.5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3.5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3.5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3.5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3.5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3.5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3.5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3.5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3.5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3.5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3.5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3.5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3.5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3.5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3.5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3.5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3.5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3.5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3.5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3.5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3.5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3.5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3.5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</sheetData>
  <mergeCells count="4">
    <mergeCell ref="A1:H1"/>
    <mergeCell ref="A3:H3"/>
    <mergeCell ref="A13:H13"/>
    <mergeCell ref="A15:H15"/>
  </mergeCells>
  <pageMargins left="0.19685039370078741" right="0.19685039370078741" top="0.19685039370078741" bottom="0.19685039370078741" header="0" footer="0"/>
  <pageSetup paperSize="9" scale="9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7"/>
  <sheetViews>
    <sheetView topLeftCell="A28" zoomScale="62" workbookViewId="0">
      <selection activeCell="H56" sqref="H56"/>
    </sheetView>
  </sheetViews>
  <sheetFormatPr defaultColWidth="14.4609375" defaultRowHeight="15" customHeight="1" x14ac:dyDescent="0.4"/>
  <cols>
    <col min="1" max="1" width="15.4609375" customWidth="1"/>
    <col min="2" max="2" width="29.53515625" bestFit="1" customWidth="1"/>
    <col min="3" max="4" width="18.84375" bestFit="1" customWidth="1"/>
    <col min="5" max="7" width="15.4609375" customWidth="1"/>
    <col min="8" max="9" width="8.84375" customWidth="1"/>
    <col min="10" max="10" width="10.3046875" customWidth="1"/>
    <col min="11" max="11" width="8.84375" customWidth="1"/>
  </cols>
  <sheetData>
    <row r="1" spans="1:11" ht="24.75" customHeight="1" x14ac:dyDescent="0.4">
      <c r="A1" s="48" t="s">
        <v>37</v>
      </c>
      <c r="B1" s="49"/>
      <c r="C1" s="49"/>
      <c r="D1" s="49"/>
      <c r="E1" s="49"/>
      <c r="F1" s="49"/>
      <c r="G1" s="50"/>
      <c r="H1" s="1"/>
      <c r="I1" s="1"/>
      <c r="J1" s="1"/>
      <c r="K1" s="1"/>
    </row>
    <row r="2" spans="1:11" ht="13.5" customHeigh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43.5" customHeight="1" x14ac:dyDescent="0.4">
      <c r="A3" s="51" t="s">
        <v>38</v>
      </c>
      <c r="B3" s="49"/>
      <c r="C3" s="49"/>
      <c r="D3" s="49"/>
      <c r="E3" s="49"/>
      <c r="F3" s="49"/>
      <c r="G3" s="50"/>
      <c r="H3" s="1"/>
      <c r="I3" s="1"/>
      <c r="J3" s="1"/>
      <c r="K3" s="1"/>
    </row>
    <row r="4" spans="1:11" ht="13.5" customHeight="1" x14ac:dyDescent="0.4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3.5" customHeight="1" x14ac:dyDescent="0.4">
      <c r="A5" s="18" t="s">
        <v>39</v>
      </c>
      <c r="B5" s="1"/>
      <c r="C5" s="1"/>
      <c r="D5" s="9" t="s">
        <v>40</v>
      </c>
      <c r="E5" s="9" t="s">
        <v>41</v>
      </c>
      <c r="F5" s="1"/>
      <c r="G5" s="1"/>
      <c r="H5" s="1"/>
      <c r="I5" s="1"/>
      <c r="J5" s="1"/>
      <c r="K5" s="1"/>
    </row>
    <row r="6" spans="1:11" ht="13.5" customHeight="1" x14ac:dyDescent="0.4">
      <c r="A6" s="19" t="s">
        <v>42</v>
      </c>
      <c r="B6" s="20"/>
      <c r="C6" s="20"/>
      <c r="D6" s="30">
        <v>550000</v>
      </c>
      <c r="E6" s="30">
        <v>720000</v>
      </c>
      <c r="F6" s="1"/>
      <c r="G6" s="1"/>
      <c r="H6" s="1"/>
      <c r="I6" s="1"/>
      <c r="J6" s="1"/>
      <c r="K6" s="1"/>
    </row>
    <row r="7" spans="1:11" ht="13.5" customHeight="1" x14ac:dyDescent="0.4">
      <c r="A7" s="55" t="s">
        <v>43</v>
      </c>
      <c r="B7" s="54"/>
      <c r="C7" s="56"/>
      <c r="D7" s="31">
        <v>20</v>
      </c>
      <c r="E7" s="31">
        <v>12</v>
      </c>
      <c r="F7" s="1"/>
      <c r="G7" s="1"/>
      <c r="H7" s="1"/>
      <c r="I7" s="1"/>
      <c r="J7" s="1"/>
      <c r="K7" s="1"/>
    </row>
    <row r="8" spans="1:11" ht="13.5" customHeight="1" x14ac:dyDescent="0.4">
      <c r="A8" s="57"/>
      <c r="B8" s="54"/>
      <c r="C8" s="56"/>
      <c r="D8" s="14"/>
      <c r="E8" s="14"/>
      <c r="F8" s="1"/>
      <c r="G8" s="1"/>
      <c r="H8" s="1"/>
      <c r="I8" s="1"/>
      <c r="J8" s="1"/>
      <c r="K8" s="1"/>
    </row>
    <row r="9" spans="1:11" ht="13.5" customHeight="1" x14ac:dyDescent="0.4">
      <c r="A9" s="22" t="s">
        <v>44</v>
      </c>
      <c r="B9" s="1"/>
      <c r="C9" s="1"/>
      <c r="D9" s="14">
        <f>D6*0.6</f>
        <v>330000</v>
      </c>
      <c r="E9" s="14">
        <f>E6*0.7</f>
        <v>503999.99999999994</v>
      </c>
      <c r="F9" s="1"/>
      <c r="G9" s="1"/>
      <c r="H9" s="1"/>
      <c r="I9" s="1"/>
      <c r="J9" s="1"/>
      <c r="K9" s="1"/>
    </row>
    <row r="10" spans="1:11" ht="13.5" customHeight="1" x14ac:dyDescent="0.4">
      <c r="A10" s="22" t="s">
        <v>45</v>
      </c>
      <c r="B10" s="1"/>
      <c r="C10" s="1"/>
      <c r="D10" s="14">
        <f>D6*0.08</f>
        <v>44000</v>
      </c>
      <c r="E10" s="14">
        <f>E6*0.2</f>
        <v>144000</v>
      </c>
      <c r="F10" s="1"/>
      <c r="G10" s="1"/>
      <c r="H10" s="1"/>
      <c r="I10" s="1"/>
      <c r="J10" s="1"/>
      <c r="K10" s="1"/>
    </row>
    <row r="11" spans="1:11" ht="13.5" customHeight="1" x14ac:dyDescent="0.4">
      <c r="A11" s="22" t="s">
        <v>46</v>
      </c>
      <c r="B11" s="1"/>
      <c r="C11" s="1"/>
      <c r="D11" s="14">
        <f>D6/550*20</f>
        <v>20000</v>
      </c>
      <c r="E11" s="14">
        <f>E6/250*20</f>
        <v>57600</v>
      </c>
      <c r="F11" s="1"/>
      <c r="G11" s="1"/>
      <c r="H11" s="1"/>
      <c r="I11" s="1"/>
      <c r="J11" s="1"/>
      <c r="K11" s="1"/>
    </row>
    <row r="12" spans="1:11" ht="13.5" customHeight="1" x14ac:dyDescent="0.4">
      <c r="A12" s="22" t="s">
        <v>47</v>
      </c>
      <c r="B12" s="1"/>
      <c r="C12" s="1"/>
      <c r="D12" s="14">
        <f>D6/20*4</f>
        <v>110000</v>
      </c>
      <c r="E12" s="14">
        <f>E6/12*4</f>
        <v>240000</v>
      </c>
      <c r="F12" s="1"/>
      <c r="G12" s="1"/>
      <c r="H12" s="1"/>
      <c r="I12" s="1"/>
      <c r="J12" s="1"/>
      <c r="K12" s="1"/>
    </row>
    <row r="13" spans="1:11" ht="13.5" customHeight="1" x14ac:dyDescent="0.4">
      <c r="A13" s="22" t="s">
        <v>48</v>
      </c>
      <c r="B13" s="1"/>
      <c r="C13" s="1"/>
      <c r="D13" s="14">
        <v>50000</v>
      </c>
      <c r="E13" s="14">
        <v>80000</v>
      </c>
      <c r="F13" s="1"/>
      <c r="G13" s="1"/>
      <c r="H13" s="1"/>
      <c r="I13" s="1"/>
      <c r="J13" s="1"/>
      <c r="K13" s="1"/>
    </row>
    <row r="14" spans="1:11" ht="13.5" customHeight="1" x14ac:dyDescent="0.4">
      <c r="A14" s="22" t="s">
        <v>49</v>
      </c>
      <c r="B14" s="1"/>
      <c r="C14" s="1"/>
      <c r="D14" s="14">
        <v>40000</v>
      </c>
      <c r="E14" s="14">
        <v>60000</v>
      </c>
      <c r="F14" s="1"/>
      <c r="G14" s="1"/>
      <c r="H14" s="1"/>
      <c r="I14" s="1"/>
      <c r="J14" s="1"/>
      <c r="K14" s="1"/>
    </row>
    <row r="15" spans="1:11" ht="13.5" customHeight="1" x14ac:dyDescent="0.4">
      <c r="A15" s="22" t="s">
        <v>50</v>
      </c>
      <c r="B15" s="1"/>
      <c r="C15" s="1"/>
      <c r="D15" s="14">
        <v>25000</v>
      </c>
      <c r="E15" s="14">
        <v>35000</v>
      </c>
      <c r="F15" s="1"/>
      <c r="G15" s="1"/>
      <c r="H15" s="1"/>
      <c r="I15" s="1"/>
      <c r="J15" s="1"/>
      <c r="K15" s="1"/>
    </row>
    <row r="16" spans="1:11" ht="13.5" customHeight="1" x14ac:dyDescent="0.4">
      <c r="A16" s="32" t="s">
        <v>51</v>
      </c>
      <c r="B16" s="33"/>
      <c r="C16" s="33"/>
      <c r="D16" s="34">
        <f t="shared" ref="D16:E16" si="0">D9-D10-D11-D12-D13-D14-D15</f>
        <v>41000</v>
      </c>
      <c r="E16" s="34">
        <f t="shared" si="0"/>
        <v>-112600.00000000006</v>
      </c>
      <c r="F16" s="1"/>
      <c r="G16" s="1"/>
      <c r="H16" s="1"/>
      <c r="I16" s="1"/>
      <c r="J16" s="15"/>
      <c r="K16" s="1"/>
    </row>
    <row r="17" spans="1:11" ht="13.5" customHeight="1" x14ac:dyDescent="0.4">
      <c r="A17" s="35"/>
      <c r="B17" s="1"/>
      <c r="C17" s="1"/>
      <c r="D17" s="15"/>
      <c r="E17" s="15"/>
      <c r="F17" s="1"/>
      <c r="G17" s="1"/>
      <c r="H17" s="1"/>
      <c r="I17" s="1"/>
      <c r="J17" s="15"/>
      <c r="K17" s="1"/>
    </row>
    <row r="18" spans="1:11" ht="13.5" customHeight="1" x14ac:dyDescent="0.4">
      <c r="A18" s="1"/>
      <c r="B18" s="1"/>
      <c r="C18" s="28"/>
      <c r="D18" s="1"/>
      <c r="E18" s="1"/>
      <c r="F18" s="1"/>
      <c r="G18" s="1"/>
      <c r="H18" s="1"/>
      <c r="I18" s="1"/>
      <c r="J18" s="1"/>
      <c r="K18" s="1"/>
    </row>
    <row r="19" spans="1:11" ht="185.25" customHeight="1" x14ac:dyDescent="0.4">
      <c r="A19" s="51" t="s">
        <v>52</v>
      </c>
      <c r="B19" s="49"/>
      <c r="C19" s="49"/>
      <c r="D19" s="49"/>
      <c r="E19" s="49"/>
      <c r="F19" s="49"/>
      <c r="G19" s="50"/>
      <c r="H19" s="1"/>
      <c r="I19" s="1"/>
      <c r="J19" s="1"/>
      <c r="K19" s="1"/>
    </row>
    <row r="20" spans="1:11" ht="13.5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13.5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3.5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13.5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3.5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13.5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3.5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3.5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13.5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3.5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3.5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13.5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3.5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3.5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3.5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3.5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3.5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3.5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3.5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13.5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3.5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3.5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3.5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13.5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3.5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13.5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3.5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3.5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3.5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3.5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3.5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3.5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3.5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3.5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3.5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3.5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3.5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3.5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3.5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3.5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3.5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3.5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3.5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3.5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3.5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3.5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3.5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3.5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3.5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3.5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3.5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3.5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3.5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3.5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3.5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3.5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3.5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3.5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3.5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3.5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3.5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3.5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3.5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3.5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3.5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3.5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3.5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3.5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</sheetData>
  <mergeCells count="4">
    <mergeCell ref="A19:G19"/>
    <mergeCell ref="A1:G1"/>
    <mergeCell ref="A3:G3"/>
    <mergeCell ref="A7:C8"/>
  </mergeCells>
  <pageMargins left="0.19685039370078741" right="0.19685039370078741" top="0.19685039370078741" bottom="0.19685039370078741" header="0" footer="0"/>
  <pageSetup paperSize="9" scale="9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zoomScale="71" workbookViewId="0">
      <selection activeCell="A26" sqref="A26:G44"/>
    </sheetView>
  </sheetViews>
  <sheetFormatPr defaultColWidth="14.4609375" defaultRowHeight="15" customHeight="1" x14ac:dyDescent="0.4"/>
  <cols>
    <col min="1" max="7" width="15.4609375" customWidth="1"/>
    <col min="8" max="11" width="8.84375" customWidth="1"/>
  </cols>
  <sheetData>
    <row r="1" spans="1:11" ht="24.75" customHeight="1" x14ac:dyDescent="0.4">
      <c r="A1" s="48" t="s">
        <v>53</v>
      </c>
      <c r="B1" s="49"/>
      <c r="C1" s="49"/>
      <c r="D1" s="49"/>
      <c r="E1" s="49"/>
      <c r="F1" s="49"/>
      <c r="G1" s="50"/>
      <c r="H1" s="1"/>
      <c r="I1" s="1"/>
      <c r="J1" s="1"/>
      <c r="K1" s="1"/>
    </row>
    <row r="2" spans="1:11" ht="13.5" customHeigh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56.25" customHeight="1" x14ac:dyDescent="0.4">
      <c r="A3" s="51" t="s">
        <v>54</v>
      </c>
      <c r="B3" s="49"/>
      <c r="C3" s="49"/>
      <c r="D3" s="49"/>
      <c r="E3" s="49"/>
      <c r="F3" s="49"/>
      <c r="G3" s="50"/>
      <c r="H3" s="1"/>
      <c r="I3" s="1"/>
      <c r="J3" s="1"/>
      <c r="K3" s="1"/>
    </row>
    <row r="4" spans="1:11" ht="13.5" customHeight="1" x14ac:dyDescent="0.4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3.5" customHeight="1" x14ac:dyDescent="0.4">
      <c r="A5" s="1" t="s">
        <v>55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3.5" customHeight="1" x14ac:dyDescent="0.4">
      <c r="A6" s="64"/>
      <c r="B6" s="59"/>
      <c r="C6" s="59"/>
      <c r="D6" s="59"/>
      <c r="E6" s="59"/>
      <c r="F6" s="59"/>
      <c r="G6" s="60"/>
      <c r="H6" s="1"/>
      <c r="I6" s="1"/>
      <c r="J6" s="1"/>
      <c r="K6" s="1"/>
    </row>
    <row r="7" spans="1:11" ht="13.5" customHeight="1" x14ac:dyDescent="0.4">
      <c r="A7" s="57"/>
      <c r="B7" s="54"/>
      <c r="C7" s="54"/>
      <c r="D7" s="54"/>
      <c r="E7" s="54"/>
      <c r="F7" s="54"/>
      <c r="G7" s="56"/>
      <c r="H7" s="1"/>
      <c r="I7" s="1"/>
      <c r="J7" s="1"/>
      <c r="K7" s="1"/>
    </row>
    <row r="8" spans="1:11" ht="13.5" customHeight="1" x14ac:dyDescent="0.4">
      <c r="A8" s="57"/>
      <c r="B8" s="54"/>
      <c r="C8" s="54"/>
      <c r="D8" s="54"/>
      <c r="E8" s="54"/>
      <c r="F8" s="54"/>
      <c r="G8" s="56"/>
      <c r="H8" s="1"/>
      <c r="I8" s="1"/>
      <c r="J8" s="1"/>
      <c r="K8" s="1"/>
    </row>
    <row r="9" spans="1:11" ht="13.5" customHeight="1" x14ac:dyDescent="0.4">
      <c r="A9" s="57"/>
      <c r="B9" s="54"/>
      <c r="C9" s="54"/>
      <c r="D9" s="54"/>
      <c r="E9" s="54"/>
      <c r="F9" s="54"/>
      <c r="G9" s="56"/>
      <c r="H9" s="1"/>
      <c r="I9" s="1"/>
      <c r="J9" s="1"/>
      <c r="K9" s="1"/>
    </row>
    <row r="10" spans="1:11" ht="13.5" customHeight="1" x14ac:dyDescent="0.4">
      <c r="A10" s="57"/>
      <c r="B10" s="54"/>
      <c r="C10" s="54"/>
      <c r="D10" s="54"/>
      <c r="E10" s="54"/>
      <c r="F10" s="54"/>
      <c r="G10" s="56"/>
      <c r="H10" s="1"/>
      <c r="I10" s="1"/>
      <c r="J10" s="1"/>
      <c r="K10" s="1"/>
    </row>
    <row r="11" spans="1:11" ht="13.5" customHeight="1" x14ac:dyDescent="0.4">
      <c r="A11" s="57"/>
      <c r="B11" s="54"/>
      <c r="C11" s="54"/>
      <c r="D11" s="54"/>
      <c r="E11" s="54"/>
      <c r="F11" s="54"/>
      <c r="G11" s="56"/>
      <c r="H11" s="1"/>
      <c r="I11" s="1"/>
      <c r="J11" s="1"/>
      <c r="K11" s="1"/>
    </row>
    <row r="12" spans="1:11" ht="13.5" customHeight="1" x14ac:dyDescent="0.4">
      <c r="A12" s="57"/>
      <c r="B12" s="54"/>
      <c r="C12" s="54"/>
      <c r="D12" s="54"/>
      <c r="E12" s="54"/>
      <c r="F12" s="54"/>
      <c r="G12" s="56"/>
      <c r="H12" s="1"/>
      <c r="I12" s="1"/>
      <c r="J12" s="1"/>
      <c r="K12" s="1"/>
    </row>
    <row r="13" spans="1:11" ht="13.5" customHeight="1" x14ac:dyDescent="0.4">
      <c r="A13" s="57"/>
      <c r="B13" s="54"/>
      <c r="C13" s="54"/>
      <c r="D13" s="54"/>
      <c r="E13" s="54"/>
      <c r="F13" s="54"/>
      <c r="G13" s="56"/>
      <c r="H13" s="1"/>
      <c r="I13" s="1"/>
      <c r="J13" s="1"/>
      <c r="K13" s="1"/>
    </row>
    <row r="14" spans="1:11" ht="13.5" customHeight="1" x14ac:dyDescent="0.4">
      <c r="A14" s="57"/>
      <c r="B14" s="54"/>
      <c r="C14" s="54"/>
      <c r="D14" s="54"/>
      <c r="E14" s="54"/>
      <c r="F14" s="54"/>
      <c r="G14" s="56"/>
      <c r="H14" s="1"/>
      <c r="I14" s="1"/>
      <c r="J14" s="1"/>
      <c r="K14" s="1"/>
    </row>
    <row r="15" spans="1:11" ht="13.5" customHeight="1" x14ac:dyDescent="0.4">
      <c r="A15" s="57"/>
      <c r="B15" s="54"/>
      <c r="C15" s="54"/>
      <c r="D15" s="54"/>
      <c r="E15" s="54"/>
      <c r="F15" s="54"/>
      <c r="G15" s="56"/>
      <c r="H15" s="1"/>
      <c r="I15" s="1"/>
      <c r="J15" s="1"/>
      <c r="K15" s="1"/>
    </row>
    <row r="16" spans="1:11" ht="13.5" customHeight="1" x14ac:dyDescent="0.4">
      <c r="A16" s="57"/>
      <c r="B16" s="54"/>
      <c r="C16" s="54"/>
      <c r="D16" s="54"/>
      <c r="E16" s="54"/>
      <c r="F16" s="54"/>
      <c r="G16" s="56"/>
      <c r="H16" s="1"/>
      <c r="I16" s="1"/>
      <c r="J16" s="1"/>
      <c r="K16" s="1"/>
    </row>
    <row r="17" spans="1:11" ht="13.5" customHeight="1" x14ac:dyDescent="0.4">
      <c r="A17" s="57"/>
      <c r="B17" s="54"/>
      <c r="C17" s="54"/>
      <c r="D17" s="54"/>
      <c r="E17" s="54"/>
      <c r="F17" s="54"/>
      <c r="G17" s="56"/>
      <c r="H17" s="1"/>
      <c r="I17" s="1"/>
      <c r="J17" s="1"/>
      <c r="K17" s="1"/>
    </row>
    <row r="18" spans="1:11" ht="13.5" customHeight="1" x14ac:dyDescent="0.4">
      <c r="A18" s="57"/>
      <c r="B18" s="54"/>
      <c r="C18" s="54"/>
      <c r="D18" s="54"/>
      <c r="E18" s="54"/>
      <c r="F18" s="54"/>
      <c r="G18" s="56"/>
      <c r="H18" s="1"/>
      <c r="I18" s="1"/>
      <c r="J18" s="1"/>
      <c r="K18" s="1"/>
    </row>
    <row r="19" spans="1:11" ht="13.5" customHeight="1" x14ac:dyDescent="0.4">
      <c r="A19" s="57"/>
      <c r="B19" s="54"/>
      <c r="C19" s="54"/>
      <c r="D19" s="54"/>
      <c r="E19" s="54"/>
      <c r="F19" s="54"/>
      <c r="G19" s="56"/>
      <c r="H19" s="1"/>
      <c r="I19" s="1"/>
      <c r="J19" s="1"/>
      <c r="K19" s="1"/>
    </row>
    <row r="20" spans="1:11" ht="13.5" customHeight="1" x14ac:dyDescent="0.4">
      <c r="A20" s="57"/>
      <c r="B20" s="54"/>
      <c r="C20" s="54"/>
      <c r="D20" s="54"/>
      <c r="E20" s="54"/>
      <c r="F20" s="54"/>
      <c r="G20" s="56"/>
      <c r="H20" s="1"/>
      <c r="I20" s="1"/>
      <c r="J20" s="1"/>
      <c r="K20" s="1"/>
    </row>
    <row r="21" spans="1:11" ht="13.5" customHeight="1" x14ac:dyDescent="0.4">
      <c r="A21" s="57"/>
      <c r="B21" s="54"/>
      <c r="C21" s="54"/>
      <c r="D21" s="54"/>
      <c r="E21" s="54"/>
      <c r="F21" s="54"/>
      <c r="G21" s="56"/>
      <c r="H21" s="1"/>
      <c r="I21" s="1"/>
      <c r="J21" s="1"/>
      <c r="K21" s="1"/>
    </row>
    <row r="22" spans="1:11" ht="13.5" customHeight="1" x14ac:dyDescent="0.4">
      <c r="A22" s="57"/>
      <c r="B22" s="54"/>
      <c r="C22" s="54"/>
      <c r="D22" s="54"/>
      <c r="E22" s="54"/>
      <c r="F22" s="54"/>
      <c r="G22" s="56"/>
      <c r="H22" s="1"/>
      <c r="I22" s="1"/>
      <c r="J22" s="1"/>
      <c r="K22" s="1"/>
    </row>
    <row r="23" spans="1:11" ht="13.5" customHeight="1" x14ac:dyDescent="0.4">
      <c r="A23" s="57"/>
      <c r="B23" s="54"/>
      <c r="C23" s="54"/>
      <c r="D23" s="54"/>
      <c r="E23" s="54"/>
      <c r="F23" s="54"/>
      <c r="G23" s="56"/>
      <c r="H23" s="1"/>
      <c r="I23" s="1"/>
      <c r="J23" s="1"/>
      <c r="K23" s="1"/>
    </row>
    <row r="24" spans="1:11" ht="13.5" customHeight="1" x14ac:dyDescent="0.4">
      <c r="A24" s="61"/>
      <c r="B24" s="62"/>
      <c r="C24" s="62"/>
      <c r="D24" s="62"/>
      <c r="E24" s="62"/>
      <c r="F24" s="62"/>
      <c r="G24" s="63"/>
      <c r="H24" s="1"/>
      <c r="I24" s="1"/>
      <c r="J24" s="1"/>
      <c r="K24" s="1"/>
    </row>
    <row r="25" spans="1:11" ht="13.5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3.5" customHeight="1" x14ac:dyDescent="0.4">
      <c r="A26" s="64" t="s">
        <v>62</v>
      </c>
      <c r="B26" s="59"/>
      <c r="C26" s="59"/>
      <c r="D26" s="59"/>
      <c r="E26" s="59"/>
      <c r="F26" s="59"/>
      <c r="G26" s="60"/>
      <c r="H26" s="1"/>
      <c r="I26" s="1"/>
      <c r="J26" s="1"/>
      <c r="K26" s="1"/>
    </row>
    <row r="27" spans="1:11" ht="13.5" customHeight="1" x14ac:dyDescent="0.4">
      <c r="A27" s="57"/>
      <c r="B27" s="54"/>
      <c r="C27" s="54"/>
      <c r="D27" s="54"/>
      <c r="E27" s="54"/>
      <c r="F27" s="54"/>
      <c r="G27" s="56"/>
      <c r="H27" s="1"/>
      <c r="I27" s="1"/>
      <c r="J27" s="1"/>
      <c r="K27" s="1"/>
    </row>
    <row r="28" spans="1:11" ht="13.5" customHeight="1" x14ac:dyDescent="0.4">
      <c r="A28" s="57"/>
      <c r="B28" s="54"/>
      <c r="C28" s="54"/>
      <c r="D28" s="54"/>
      <c r="E28" s="54"/>
      <c r="F28" s="54"/>
      <c r="G28" s="56"/>
      <c r="H28" s="1"/>
      <c r="I28" s="1"/>
      <c r="J28" s="1"/>
      <c r="K28" s="1"/>
    </row>
    <row r="29" spans="1:11" ht="13.5" customHeight="1" x14ac:dyDescent="0.4">
      <c r="A29" s="57"/>
      <c r="B29" s="54"/>
      <c r="C29" s="54"/>
      <c r="D29" s="54"/>
      <c r="E29" s="54"/>
      <c r="F29" s="54"/>
      <c r="G29" s="56"/>
      <c r="H29" s="1"/>
      <c r="I29" s="1"/>
      <c r="J29" s="1"/>
      <c r="K29" s="1"/>
    </row>
    <row r="30" spans="1:11" ht="13.5" customHeight="1" x14ac:dyDescent="0.4">
      <c r="A30" s="57"/>
      <c r="B30" s="54"/>
      <c r="C30" s="54"/>
      <c r="D30" s="54"/>
      <c r="E30" s="54"/>
      <c r="F30" s="54"/>
      <c r="G30" s="56"/>
      <c r="H30" s="1"/>
      <c r="I30" s="1"/>
      <c r="J30" s="1"/>
      <c r="K30" s="1"/>
    </row>
    <row r="31" spans="1:11" ht="13.5" customHeight="1" x14ac:dyDescent="0.4">
      <c r="A31" s="57"/>
      <c r="B31" s="54"/>
      <c r="C31" s="54"/>
      <c r="D31" s="54"/>
      <c r="E31" s="54"/>
      <c r="F31" s="54"/>
      <c r="G31" s="56"/>
      <c r="H31" s="1"/>
      <c r="I31" s="1"/>
      <c r="J31" s="1"/>
      <c r="K31" s="1"/>
    </row>
    <row r="32" spans="1:11" ht="13.5" customHeight="1" x14ac:dyDescent="0.4">
      <c r="A32" s="57"/>
      <c r="B32" s="54"/>
      <c r="C32" s="54"/>
      <c r="D32" s="54"/>
      <c r="E32" s="54"/>
      <c r="F32" s="54"/>
      <c r="G32" s="56"/>
      <c r="H32" s="1"/>
      <c r="I32" s="1"/>
      <c r="J32" s="1"/>
      <c r="K32" s="1"/>
    </row>
    <row r="33" spans="1:11" ht="13.5" customHeight="1" x14ac:dyDescent="0.4">
      <c r="A33" s="57"/>
      <c r="B33" s="54"/>
      <c r="C33" s="54"/>
      <c r="D33" s="54"/>
      <c r="E33" s="54"/>
      <c r="F33" s="54"/>
      <c r="G33" s="56"/>
      <c r="H33" s="1"/>
      <c r="I33" s="1"/>
      <c r="J33" s="1"/>
      <c r="K33" s="1"/>
    </row>
    <row r="34" spans="1:11" ht="13.5" customHeight="1" x14ac:dyDescent="0.4">
      <c r="A34" s="57"/>
      <c r="B34" s="54"/>
      <c r="C34" s="54"/>
      <c r="D34" s="54"/>
      <c r="E34" s="54"/>
      <c r="F34" s="54"/>
      <c r="G34" s="56"/>
      <c r="H34" s="1"/>
      <c r="I34" s="1"/>
      <c r="J34" s="1"/>
      <c r="K34" s="1"/>
    </row>
    <row r="35" spans="1:11" ht="13.5" customHeight="1" x14ac:dyDescent="0.4">
      <c r="A35" s="57"/>
      <c r="B35" s="54"/>
      <c r="C35" s="54"/>
      <c r="D35" s="54"/>
      <c r="E35" s="54"/>
      <c r="F35" s="54"/>
      <c r="G35" s="56"/>
      <c r="H35" s="1"/>
      <c r="I35" s="1"/>
      <c r="J35" s="1"/>
      <c r="K35" s="1"/>
    </row>
    <row r="36" spans="1:11" ht="13.5" customHeight="1" x14ac:dyDescent="0.4">
      <c r="A36" s="57"/>
      <c r="B36" s="54"/>
      <c r="C36" s="54"/>
      <c r="D36" s="54"/>
      <c r="E36" s="54"/>
      <c r="F36" s="54"/>
      <c r="G36" s="56"/>
      <c r="H36" s="1"/>
      <c r="I36" s="1"/>
      <c r="J36" s="1"/>
      <c r="K36" s="1"/>
    </row>
    <row r="37" spans="1:11" ht="13.5" customHeight="1" x14ac:dyDescent="0.4">
      <c r="A37" s="57"/>
      <c r="B37" s="54"/>
      <c r="C37" s="54"/>
      <c r="D37" s="54"/>
      <c r="E37" s="54"/>
      <c r="F37" s="54"/>
      <c r="G37" s="56"/>
      <c r="H37" s="1"/>
      <c r="I37" s="1"/>
      <c r="J37" s="1"/>
      <c r="K37" s="1"/>
    </row>
    <row r="38" spans="1:11" ht="13.5" customHeight="1" x14ac:dyDescent="0.4">
      <c r="A38" s="57"/>
      <c r="B38" s="54"/>
      <c r="C38" s="54"/>
      <c r="D38" s="54"/>
      <c r="E38" s="54"/>
      <c r="F38" s="54"/>
      <c r="G38" s="56"/>
      <c r="H38" s="1"/>
      <c r="I38" s="1"/>
      <c r="J38" s="1"/>
      <c r="K38" s="1"/>
    </row>
    <row r="39" spans="1:11" ht="13.5" customHeight="1" x14ac:dyDescent="0.4">
      <c r="A39" s="57"/>
      <c r="B39" s="54"/>
      <c r="C39" s="54"/>
      <c r="D39" s="54"/>
      <c r="E39" s="54"/>
      <c r="F39" s="54"/>
      <c r="G39" s="56"/>
      <c r="H39" s="1"/>
      <c r="I39" s="1"/>
      <c r="J39" s="1"/>
      <c r="K39" s="1"/>
    </row>
    <row r="40" spans="1:11" ht="13.5" customHeight="1" x14ac:dyDescent="0.4">
      <c r="A40" s="57"/>
      <c r="B40" s="54"/>
      <c r="C40" s="54"/>
      <c r="D40" s="54"/>
      <c r="E40" s="54"/>
      <c r="F40" s="54"/>
      <c r="G40" s="56"/>
      <c r="H40" s="1"/>
      <c r="I40" s="1"/>
      <c r="J40" s="1"/>
      <c r="K40" s="1"/>
    </row>
    <row r="41" spans="1:11" ht="13.5" customHeight="1" x14ac:dyDescent="0.4">
      <c r="A41" s="57"/>
      <c r="B41" s="54"/>
      <c r="C41" s="54"/>
      <c r="D41" s="54"/>
      <c r="E41" s="54"/>
      <c r="F41" s="54"/>
      <c r="G41" s="56"/>
      <c r="H41" s="1"/>
      <c r="I41" s="1"/>
      <c r="J41" s="1"/>
      <c r="K41" s="1"/>
    </row>
    <row r="42" spans="1:11" ht="13.5" customHeight="1" x14ac:dyDescent="0.4">
      <c r="A42" s="57"/>
      <c r="B42" s="54"/>
      <c r="C42" s="54"/>
      <c r="D42" s="54"/>
      <c r="E42" s="54"/>
      <c r="F42" s="54"/>
      <c r="G42" s="56"/>
      <c r="H42" s="1"/>
      <c r="I42" s="1"/>
      <c r="J42" s="1"/>
      <c r="K42" s="1"/>
    </row>
    <row r="43" spans="1:11" ht="13.5" customHeight="1" x14ac:dyDescent="0.4">
      <c r="A43" s="57"/>
      <c r="B43" s="54"/>
      <c r="C43" s="54"/>
      <c r="D43" s="54"/>
      <c r="E43" s="54"/>
      <c r="F43" s="54"/>
      <c r="G43" s="56"/>
      <c r="H43" s="1"/>
      <c r="I43" s="1"/>
      <c r="J43" s="1"/>
      <c r="K43" s="1"/>
    </row>
    <row r="44" spans="1:11" ht="13.5" customHeight="1" x14ac:dyDescent="0.4">
      <c r="A44" s="61"/>
      <c r="B44" s="62"/>
      <c r="C44" s="62"/>
      <c r="D44" s="62"/>
      <c r="E44" s="62"/>
      <c r="F44" s="62"/>
      <c r="G44" s="63"/>
      <c r="H44" s="1"/>
      <c r="I44" s="1"/>
      <c r="J44" s="1"/>
      <c r="K44" s="1"/>
    </row>
    <row r="45" spans="1:11" ht="13.5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3.5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3.5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3.5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3.5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3.5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3.5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3.5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3.5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3.5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3.5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3.5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3.5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3.5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3.5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3.5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3.5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3.5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3.5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3.5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3.5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3.5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3.5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3.5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3.5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3.5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3.5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3.5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3.5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3.5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3.5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3.5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3.5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3.5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3.5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3.5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3.5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3.5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3.5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3.5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3.5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3.5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3.5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3.5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3.5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3.5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3.5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3.5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3.5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3.5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3.5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3.5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3.5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3.5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3.5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3.5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4">
    <mergeCell ref="A1:G1"/>
    <mergeCell ref="A3:G3"/>
    <mergeCell ref="A6:G24"/>
    <mergeCell ref="A26:G44"/>
  </mergeCells>
  <pageMargins left="0.19685039370078741" right="0.19685039370078741" top="0.19685039370078741" bottom="0.19685039370078741" header="0" footer="0"/>
  <pageSetup paperSize="9" scale="9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topLeftCell="A11" zoomScale="98" workbookViewId="0">
      <selection activeCell="A6" sqref="A6:G24"/>
    </sheetView>
  </sheetViews>
  <sheetFormatPr defaultColWidth="14.4609375" defaultRowHeight="15" customHeight="1" x14ac:dyDescent="0.4"/>
  <cols>
    <col min="1" max="7" width="15.4609375" customWidth="1"/>
    <col min="8" max="11" width="8.84375" customWidth="1"/>
  </cols>
  <sheetData>
    <row r="1" spans="1:11" ht="24.75" customHeight="1" x14ac:dyDescent="0.4">
      <c r="A1" s="48" t="s">
        <v>56</v>
      </c>
      <c r="B1" s="49"/>
      <c r="C1" s="49"/>
      <c r="D1" s="49"/>
      <c r="E1" s="49"/>
      <c r="F1" s="49"/>
      <c r="G1" s="50"/>
      <c r="H1" s="1"/>
      <c r="I1" s="1"/>
      <c r="J1" s="1"/>
      <c r="K1" s="1"/>
    </row>
    <row r="2" spans="1:11" ht="13.5" customHeigh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55.5" customHeight="1" x14ac:dyDescent="0.4">
      <c r="A3" s="51" t="s">
        <v>57</v>
      </c>
      <c r="B3" s="49"/>
      <c r="C3" s="49"/>
      <c r="D3" s="49"/>
      <c r="E3" s="49"/>
      <c r="F3" s="49"/>
      <c r="G3" s="50"/>
      <c r="H3" s="1"/>
      <c r="I3" s="1"/>
      <c r="J3" s="1"/>
      <c r="K3" s="1"/>
    </row>
    <row r="4" spans="1:11" ht="13.5" customHeight="1" x14ac:dyDescent="0.4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3.5" customHeight="1" x14ac:dyDescent="0.4">
      <c r="A5" s="1" t="s">
        <v>55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3.5" customHeight="1" x14ac:dyDescent="0.4">
      <c r="A6" s="64" t="s">
        <v>61</v>
      </c>
      <c r="B6" s="65"/>
      <c r="C6" s="65"/>
      <c r="D6" s="65"/>
      <c r="E6" s="65"/>
      <c r="F6" s="65"/>
      <c r="G6" s="66"/>
      <c r="H6" s="1"/>
      <c r="I6" s="1"/>
      <c r="J6" s="1"/>
      <c r="K6" s="1"/>
    </row>
    <row r="7" spans="1:11" ht="13.5" customHeight="1" x14ac:dyDescent="0.4">
      <c r="A7" s="67"/>
      <c r="B7" s="68"/>
      <c r="C7" s="68"/>
      <c r="D7" s="68"/>
      <c r="E7" s="68"/>
      <c r="F7" s="68"/>
      <c r="G7" s="69"/>
      <c r="H7" s="1"/>
      <c r="I7" s="1"/>
      <c r="J7" s="1"/>
      <c r="K7" s="1"/>
    </row>
    <row r="8" spans="1:11" ht="13.5" customHeight="1" x14ac:dyDescent="0.4">
      <c r="A8" s="67"/>
      <c r="B8" s="68"/>
      <c r="C8" s="68"/>
      <c r="D8" s="68"/>
      <c r="E8" s="68"/>
      <c r="F8" s="68"/>
      <c r="G8" s="69"/>
      <c r="H8" s="1"/>
      <c r="I8" s="1"/>
      <c r="J8" s="1"/>
      <c r="K8" s="1"/>
    </row>
    <row r="9" spans="1:11" ht="13.5" customHeight="1" x14ac:dyDescent="0.4">
      <c r="A9" s="67"/>
      <c r="B9" s="68"/>
      <c r="C9" s="68"/>
      <c r="D9" s="68"/>
      <c r="E9" s="68"/>
      <c r="F9" s="68"/>
      <c r="G9" s="69"/>
      <c r="H9" s="1"/>
      <c r="I9" s="1"/>
      <c r="J9" s="1"/>
      <c r="K9" s="1"/>
    </row>
    <row r="10" spans="1:11" ht="13.5" customHeight="1" x14ac:dyDescent="0.4">
      <c r="A10" s="67"/>
      <c r="B10" s="68"/>
      <c r="C10" s="68"/>
      <c r="D10" s="68"/>
      <c r="E10" s="68"/>
      <c r="F10" s="68"/>
      <c r="G10" s="69"/>
      <c r="H10" s="1"/>
      <c r="I10" s="1"/>
      <c r="J10" s="1"/>
      <c r="K10" s="1"/>
    </row>
    <row r="11" spans="1:11" ht="13.5" customHeight="1" x14ac:dyDescent="0.4">
      <c r="A11" s="67"/>
      <c r="B11" s="68"/>
      <c r="C11" s="68"/>
      <c r="D11" s="68"/>
      <c r="E11" s="68"/>
      <c r="F11" s="68"/>
      <c r="G11" s="69"/>
      <c r="H11" s="1"/>
      <c r="I11" s="1"/>
      <c r="J11" s="1"/>
      <c r="K11" s="1"/>
    </row>
    <row r="12" spans="1:11" ht="13.5" customHeight="1" x14ac:dyDescent="0.4">
      <c r="A12" s="67"/>
      <c r="B12" s="68"/>
      <c r="C12" s="68"/>
      <c r="D12" s="68"/>
      <c r="E12" s="68"/>
      <c r="F12" s="68"/>
      <c r="G12" s="69"/>
      <c r="H12" s="1"/>
      <c r="I12" s="1"/>
      <c r="J12" s="1"/>
      <c r="K12" s="1"/>
    </row>
    <row r="13" spans="1:11" ht="13.5" customHeight="1" x14ac:dyDescent="0.4">
      <c r="A13" s="67"/>
      <c r="B13" s="68"/>
      <c r="C13" s="68"/>
      <c r="D13" s="68"/>
      <c r="E13" s="68"/>
      <c r="F13" s="68"/>
      <c r="G13" s="69"/>
      <c r="H13" s="1"/>
      <c r="I13" s="1"/>
      <c r="J13" s="1"/>
      <c r="K13" s="1"/>
    </row>
    <row r="14" spans="1:11" ht="13.5" customHeight="1" x14ac:dyDescent="0.4">
      <c r="A14" s="67"/>
      <c r="B14" s="68"/>
      <c r="C14" s="68"/>
      <c r="D14" s="68"/>
      <c r="E14" s="68"/>
      <c r="F14" s="68"/>
      <c r="G14" s="69"/>
      <c r="H14" s="1"/>
      <c r="I14" s="1"/>
      <c r="J14" s="1"/>
      <c r="K14" s="1"/>
    </row>
    <row r="15" spans="1:11" ht="13.5" customHeight="1" x14ac:dyDescent="0.4">
      <c r="A15" s="67"/>
      <c r="B15" s="68"/>
      <c r="C15" s="68"/>
      <c r="D15" s="68"/>
      <c r="E15" s="68"/>
      <c r="F15" s="68"/>
      <c r="G15" s="69"/>
      <c r="H15" s="1"/>
      <c r="I15" s="1"/>
      <c r="J15" s="1"/>
      <c r="K15" s="1"/>
    </row>
    <row r="16" spans="1:11" ht="13.5" customHeight="1" x14ac:dyDescent="0.4">
      <c r="A16" s="67"/>
      <c r="B16" s="68"/>
      <c r="C16" s="68"/>
      <c r="D16" s="68"/>
      <c r="E16" s="68"/>
      <c r="F16" s="68"/>
      <c r="G16" s="69"/>
      <c r="H16" s="1"/>
      <c r="I16" s="1"/>
      <c r="J16" s="1"/>
      <c r="K16" s="1"/>
    </row>
    <row r="17" spans="1:11" ht="13.5" customHeight="1" x14ac:dyDescent="0.4">
      <c r="A17" s="67"/>
      <c r="B17" s="68"/>
      <c r="C17" s="68"/>
      <c r="D17" s="68"/>
      <c r="E17" s="68"/>
      <c r="F17" s="68"/>
      <c r="G17" s="69"/>
      <c r="H17" s="1"/>
      <c r="I17" s="1"/>
      <c r="J17" s="1"/>
      <c r="K17" s="1"/>
    </row>
    <row r="18" spans="1:11" ht="13.5" customHeight="1" x14ac:dyDescent="0.4">
      <c r="A18" s="67"/>
      <c r="B18" s="68"/>
      <c r="C18" s="68"/>
      <c r="D18" s="68"/>
      <c r="E18" s="68"/>
      <c r="F18" s="68"/>
      <c r="G18" s="69"/>
      <c r="H18" s="1"/>
      <c r="I18" s="1"/>
      <c r="J18" s="1"/>
      <c r="K18" s="1"/>
    </row>
    <row r="19" spans="1:11" ht="13.5" customHeight="1" x14ac:dyDescent="0.4">
      <c r="A19" s="67"/>
      <c r="B19" s="68"/>
      <c r="C19" s="68"/>
      <c r="D19" s="68"/>
      <c r="E19" s="68"/>
      <c r="F19" s="68"/>
      <c r="G19" s="69"/>
      <c r="H19" s="1"/>
      <c r="I19" s="1"/>
      <c r="J19" s="1"/>
      <c r="K19" s="1"/>
    </row>
    <row r="20" spans="1:11" ht="13.5" customHeight="1" x14ac:dyDescent="0.4">
      <c r="A20" s="67"/>
      <c r="B20" s="68"/>
      <c r="C20" s="68"/>
      <c r="D20" s="68"/>
      <c r="E20" s="68"/>
      <c r="F20" s="68"/>
      <c r="G20" s="69"/>
      <c r="H20" s="1"/>
      <c r="I20" s="1"/>
      <c r="J20" s="1"/>
      <c r="K20" s="1"/>
    </row>
    <row r="21" spans="1:11" ht="13.5" customHeight="1" x14ac:dyDescent="0.4">
      <c r="A21" s="67"/>
      <c r="B21" s="68"/>
      <c r="C21" s="68"/>
      <c r="D21" s="68"/>
      <c r="E21" s="68"/>
      <c r="F21" s="68"/>
      <c r="G21" s="69"/>
      <c r="H21" s="1"/>
      <c r="I21" s="1"/>
      <c r="J21" s="1"/>
      <c r="K21" s="1"/>
    </row>
    <row r="22" spans="1:11" ht="13.5" customHeight="1" x14ac:dyDescent="0.4">
      <c r="A22" s="67"/>
      <c r="B22" s="68"/>
      <c r="C22" s="68"/>
      <c r="D22" s="68"/>
      <c r="E22" s="68"/>
      <c r="F22" s="68"/>
      <c r="G22" s="69"/>
      <c r="H22" s="1"/>
      <c r="I22" s="1"/>
      <c r="J22" s="1"/>
      <c r="K22" s="1"/>
    </row>
    <row r="23" spans="1:11" ht="13.5" customHeight="1" x14ac:dyDescent="0.4">
      <c r="A23" s="67"/>
      <c r="B23" s="68"/>
      <c r="C23" s="68"/>
      <c r="D23" s="68"/>
      <c r="E23" s="68"/>
      <c r="F23" s="68"/>
      <c r="G23" s="69"/>
      <c r="H23" s="1"/>
      <c r="I23" s="1"/>
      <c r="J23" s="1"/>
      <c r="K23" s="1"/>
    </row>
    <row r="24" spans="1:11" ht="13.5" customHeight="1" x14ac:dyDescent="0.4">
      <c r="A24" s="70"/>
      <c r="B24" s="71"/>
      <c r="C24" s="71"/>
      <c r="D24" s="71"/>
      <c r="E24" s="71"/>
      <c r="F24" s="71"/>
      <c r="G24" s="72"/>
      <c r="H24" s="1"/>
      <c r="I24" s="1"/>
      <c r="J24" s="1"/>
      <c r="K24" s="1"/>
    </row>
    <row r="25" spans="1:11" ht="13.5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3.5" customHeight="1" x14ac:dyDescent="0.4">
      <c r="A26" s="64" t="s">
        <v>63</v>
      </c>
      <c r="B26" s="59"/>
      <c r="C26" s="59"/>
      <c r="D26" s="59"/>
      <c r="E26" s="59"/>
      <c r="F26" s="59"/>
      <c r="G26" s="60"/>
      <c r="H26" s="1"/>
      <c r="I26" s="1"/>
      <c r="J26" s="1"/>
      <c r="K26" s="1"/>
    </row>
    <row r="27" spans="1:11" ht="13.5" customHeight="1" x14ac:dyDescent="0.4">
      <c r="A27" s="57"/>
      <c r="B27" s="54"/>
      <c r="C27" s="54"/>
      <c r="D27" s="54"/>
      <c r="E27" s="54"/>
      <c r="F27" s="54"/>
      <c r="G27" s="56"/>
      <c r="H27" s="1"/>
      <c r="I27" s="1"/>
      <c r="J27" s="1"/>
      <c r="K27" s="1"/>
    </row>
    <row r="28" spans="1:11" ht="13.5" customHeight="1" x14ac:dyDescent="0.4">
      <c r="A28" s="57"/>
      <c r="B28" s="54"/>
      <c r="C28" s="54"/>
      <c r="D28" s="54"/>
      <c r="E28" s="54"/>
      <c r="F28" s="54"/>
      <c r="G28" s="56"/>
      <c r="H28" s="1"/>
      <c r="I28" s="1"/>
      <c r="J28" s="1"/>
      <c r="K28" s="1"/>
    </row>
    <row r="29" spans="1:11" ht="13.5" customHeight="1" x14ac:dyDescent="0.4">
      <c r="A29" s="57"/>
      <c r="B29" s="54"/>
      <c r="C29" s="54"/>
      <c r="D29" s="54"/>
      <c r="E29" s="54"/>
      <c r="F29" s="54"/>
      <c r="G29" s="56"/>
      <c r="H29" s="1"/>
      <c r="I29" s="1"/>
      <c r="J29" s="1"/>
      <c r="K29" s="1"/>
    </row>
    <row r="30" spans="1:11" ht="13.5" customHeight="1" x14ac:dyDescent="0.4">
      <c r="A30" s="57"/>
      <c r="B30" s="54"/>
      <c r="C30" s="54"/>
      <c r="D30" s="54"/>
      <c r="E30" s="54"/>
      <c r="F30" s="54"/>
      <c r="G30" s="56"/>
      <c r="H30" s="1"/>
      <c r="I30" s="1"/>
      <c r="J30" s="1"/>
      <c r="K30" s="1"/>
    </row>
    <row r="31" spans="1:11" ht="13.5" customHeight="1" x14ac:dyDescent="0.4">
      <c r="A31" s="57"/>
      <c r="B31" s="54"/>
      <c r="C31" s="54"/>
      <c r="D31" s="54"/>
      <c r="E31" s="54"/>
      <c r="F31" s="54"/>
      <c r="G31" s="56"/>
      <c r="H31" s="1"/>
      <c r="I31" s="1"/>
      <c r="J31" s="1"/>
      <c r="K31" s="1"/>
    </row>
    <row r="32" spans="1:11" ht="13.5" customHeight="1" x14ac:dyDescent="0.4">
      <c r="A32" s="57"/>
      <c r="B32" s="54"/>
      <c r="C32" s="54"/>
      <c r="D32" s="54"/>
      <c r="E32" s="54"/>
      <c r="F32" s="54"/>
      <c r="G32" s="56"/>
      <c r="H32" s="1"/>
      <c r="I32" s="1"/>
      <c r="J32" s="1"/>
      <c r="K32" s="1"/>
    </row>
    <row r="33" spans="1:11" ht="13.5" customHeight="1" x14ac:dyDescent="0.4">
      <c r="A33" s="57"/>
      <c r="B33" s="54"/>
      <c r="C33" s="54"/>
      <c r="D33" s="54"/>
      <c r="E33" s="54"/>
      <c r="F33" s="54"/>
      <c r="G33" s="56"/>
      <c r="H33" s="1"/>
      <c r="I33" s="1"/>
      <c r="J33" s="1"/>
      <c r="K33" s="1"/>
    </row>
    <row r="34" spans="1:11" ht="13.5" customHeight="1" x14ac:dyDescent="0.4">
      <c r="A34" s="57"/>
      <c r="B34" s="54"/>
      <c r="C34" s="54"/>
      <c r="D34" s="54"/>
      <c r="E34" s="54"/>
      <c r="F34" s="54"/>
      <c r="G34" s="56"/>
      <c r="H34" s="1"/>
      <c r="I34" s="1"/>
      <c r="J34" s="1"/>
      <c r="K34" s="1"/>
    </row>
    <row r="35" spans="1:11" ht="13.5" customHeight="1" x14ac:dyDescent="0.4">
      <c r="A35" s="57"/>
      <c r="B35" s="54"/>
      <c r="C35" s="54"/>
      <c r="D35" s="54"/>
      <c r="E35" s="54"/>
      <c r="F35" s="54"/>
      <c r="G35" s="56"/>
      <c r="H35" s="1"/>
      <c r="I35" s="1"/>
      <c r="J35" s="1"/>
      <c r="K35" s="1"/>
    </row>
    <row r="36" spans="1:11" ht="13.5" customHeight="1" x14ac:dyDescent="0.4">
      <c r="A36" s="57"/>
      <c r="B36" s="54"/>
      <c r="C36" s="54"/>
      <c r="D36" s="54"/>
      <c r="E36" s="54"/>
      <c r="F36" s="54"/>
      <c r="G36" s="56"/>
      <c r="H36" s="1"/>
      <c r="I36" s="1"/>
      <c r="J36" s="1"/>
      <c r="K36" s="1"/>
    </row>
    <row r="37" spans="1:11" ht="13.5" customHeight="1" x14ac:dyDescent="0.4">
      <c r="A37" s="57"/>
      <c r="B37" s="54"/>
      <c r="C37" s="54"/>
      <c r="D37" s="54"/>
      <c r="E37" s="54"/>
      <c r="F37" s="54"/>
      <c r="G37" s="56"/>
      <c r="H37" s="1"/>
      <c r="I37" s="1"/>
      <c r="J37" s="1"/>
      <c r="K37" s="1"/>
    </row>
    <row r="38" spans="1:11" ht="13.5" customHeight="1" x14ac:dyDescent="0.4">
      <c r="A38" s="57"/>
      <c r="B38" s="54"/>
      <c r="C38" s="54"/>
      <c r="D38" s="54"/>
      <c r="E38" s="54"/>
      <c r="F38" s="54"/>
      <c r="G38" s="56"/>
      <c r="H38" s="1"/>
      <c r="I38" s="1"/>
      <c r="J38" s="1"/>
      <c r="K38" s="1"/>
    </row>
    <row r="39" spans="1:11" ht="13.5" customHeight="1" x14ac:dyDescent="0.4">
      <c r="A39" s="57"/>
      <c r="B39" s="54"/>
      <c r="C39" s="54"/>
      <c r="D39" s="54"/>
      <c r="E39" s="54"/>
      <c r="F39" s="54"/>
      <c r="G39" s="56"/>
      <c r="H39" s="1"/>
      <c r="I39" s="1"/>
      <c r="J39" s="1"/>
      <c r="K39" s="1"/>
    </row>
    <row r="40" spans="1:11" ht="13.5" customHeight="1" x14ac:dyDescent="0.4">
      <c r="A40" s="57"/>
      <c r="B40" s="54"/>
      <c r="C40" s="54"/>
      <c r="D40" s="54"/>
      <c r="E40" s="54"/>
      <c r="F40" s="54"/>
      <c r="G40" s="56"/>
      <c r="H40" s="1"/>
      <c r="I40" s="1"/>
      <c r="J40" s="1"/>
      <c r="K40" s="1"/>
    </row>
    <row r="41" spans="1:11" ht="13.5" customHeight="1" x14ac:dyDescent="0.4">
      <c r="A41" s="57"/>
      <c r="B41" s="54"/>
      <c r="C41" s="54"/>
      <c r="D41" s="54"/>
      <c r="E41" s="54"/>
      <c r="F41" s="54"/>
      <c r="G41" s="56"/>
      <c r="H41" s="1"/>
      <c r="I41" s="1"/>
      <c r="J41" s="1"/>
      <c r="K41" s="1"/>
    </row>
    <row r="42" spans="1:11" ht="13.5" customHeight="1" x14ac:dyDescent="0.4">
      <c r="A42" s="57"/>
      <c r="B42" s="54"/>
      <c r="C42" s="54"/>
      <c r="D42" s="54"/>
      <c r="E42" s="54"/>
      <c r="F42" s="54"/>
      <c r="G42" s="56"/>
      <c r="H42" s="1"/>
      <c r="I42" s="1"/>
      <c r="J42" s="1"/>
      <c r="K42" s="1"/>
    </row>
    <row r="43" spans="1:11" ht="13.5" customHeight="1" x14ac:dyDescent="0.4">
      <c r="A43" s="57"/>
      <c r="B43" s="54"/>
      <c r="C43" s="54"/>
      <c r="D43" s="54"/>
      <c r="E43" s="54"/>
      <c r="F43" s="54"/>
      <c r="G43" s="56"/>
      <c r="H43" s="1"/>
      <c r="I43" s="1"/>
      <c r="J43" s="1"/>
      <c r="K43" s="1"/>
    </row>
    <row r="44" spans="1:11" ht="13.5" customHeight="1" x14ac:dyDescent="0.4">
      <c r="A44" s="61"/>
      <c r="B44" s="62"/>
      <c r="C44" s="62"/>
      <c r="D44" s="62"/>
      <c r="E44" s="62"/>
      <c r="F44" s="62"/>
      <c r="G44" s="63"/>
      <c r="H44" s="1"/>
      <c r="I44" s="1"/>
      <c r="J44" s="1"/>
      <c r="K44" s="1"/>
    </row>
    <row r="45" spans="1:11" ht="13.5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3.5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3.5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3.5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3.5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3.5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3.5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3.5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3.5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3.5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3.5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3.5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3.5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3.5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3.5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3.5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3.5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3.5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3.5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3.5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3.5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3.5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3.5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3.5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3.5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3.5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3.5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3.5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3.5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3.5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3.5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3.5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3.5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3.5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3.5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3.5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3.5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3.5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3.5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3.5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3.5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3.5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3.5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3.5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3.5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3.5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3.5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3.5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3.5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3.5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3.5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3.5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3.5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3.5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3.5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3.5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4">
    <mergeCell ref="A1:G1"/>
    <mergeCell ref="A3:G3"/>
    <mergeCell ref="A6:G24"/>
    <mergeCell ref="A26:G44"/>
  </mergeCells>
  <pageMargins left="0.19685039370078741" right="0.19685039370078741" top="0.19685039370078741" bottom="0.19685039370078741" header="0" footer="0"/>
  <pageSetup paperSize="9" scale="9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0"/>
  <sheetViews>
    <sheetView tabSelected="1" zoomScale="64" workbookViewId="0">
      <selection activeCell="A26" sqref="A26:G44"/>
    </sheetView>
  </sheetViews>
  <sheetFormatPr defaultColWidth="14.4609375" defaultRowHeight="15" customHeight="1" x14ac:dyDescent="0.4"/>
  <cols>
    <col min="1" max="7" width="15.4609375" customWidth="1"/>
    <col min="8" max="11" width="8.84375" customWidth="1"/>
  </cols>
  <sheetData>
    <row r="1" spans="1:11" ht="24.75" customHeight="1" x14ac:dyDescent="0.4">
      <c r="A1" s="48" t="s">
        <v>58</v>
      </c>
      <c r="B1" s="49"/>
      <c r="C1" s="49"/>
      <c r="D1" s="49"/>
      <c r="E1" s="49"/>
      <c r="F1" s="49"/>
      <c r="G1" s="50"/>
      <c r="H1" s="1"/>
      <c r="I1" s="1"/>
      <c r="J1" s="1"/>
      <c r="K1" s="1"/>
    </row>
    <row r="2" spans="1:11" ht="13.5" customHeigh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4" customHeight="1" x14ac:dyDescent="0.4">
      <c r="A3" s="51" t="s">
        <v>59</v>
      </c>
      <c r="B3" s="49"/>
      <c r="C3" s="49"/>
      <c r="D3" s="49"/>
      <c r="E3" s="49"/>
      <c r="F3" s="49"/>
      <c r="G3" s="50"/>
      <c r="H3" s="1"/>
      <c r="I3" s="1"/>
      <c r="J3" s="1"/>
      <c r="K3" s="1"/>
    </row>
    <row r="4" spans="1:11" ht="13.5" customHeight="1" x14ac:dyDescent="0.4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3.5" customHeight="1" x14ac:dyDescent="0.4">
      <c r="A5" s="1" t="s">
        <v>55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3.5" customHeight="1" x14ac:dyDescent="0.4">
      <c r="A6" s="64" t="s">
        <v>60</v>
      </c>
      <c r="B6" s="65"/>
      <c r="C6" s="65"/>
      <c r="D6" s="65"/>
      <c r="E6" s="65"/>
      <c r="F6" s="65"/>
      <c r="G6" s="66"/>
      <c r="H6" s="1"/>
      <c r="I6" s="1"/>
      <c r="J6" s="1"/>
      <c r="K6" s="1"/>
    </row>
    <row r="7" spans="1:11" ht="13.5" customHeight="1" x14ac:dyDescent="0.4">
      <c r="A7" s="67"/>
      <c r="B7" s="68"/>
      <c r="C7" s="68"/>
      <c r="D7" s="68"/>
      <c r="E7" s="68"/>
      <c r="F7" s="68"/>
      <c r="G7" s="69"/>
      <c r="H7" s="1"/>
      <c r="I7" s="1"/>
      <c r="J7" s="1"/>
      <c r="K7" s="1"/>
    </row>
    <row r="8" spans="1:11" ht="13.5" customHeight="1" x14ac:dyDescent="0.4">
      <c r="A8" s="67"/>
      <c r="B8" s="68"/>
      <c r="C8" s="68"/>
      <c r="D8" s="68"/>
      <c r="E8" s="68"/>
      <c r="F8" s="68"/>
      <c r="G8" s="69"/>
      <c r="H8" s="1"/>
      <c r="I8" s="1"/>
      <c r="J8" s="1"/>
      <c r="K8" s="1"/>
    </row>
    <row r="9" spans="1:11" ht="13.5" customHeight="1" x14ac:dyDescent="0.4">
      <c r="A9" s="67"/>
      <c r="B9" s="68"/>
      <c r="C9" s="68"/>
      <c r="D9" s="68"/>
      <c r="E9" s="68"/>
      <c r="F9" s="68"/>
      <c r="G9" s="69"/>
      <c r="H9" s="1"/>
      <c r="I9" s="1"/>
      <c r="J9" s="1"/>
      <c r="K9" s="1"/>
    </row>
    <row r="10" spans="1:11" ht="13.5" customHeight="1" x14ac:dyDescent="0.4">
      <c r="A10" s="67"/>
      <c r="B10" s="68"/>
      <c r="C10" s="68"/>
      <c r="D10" s="68"/>
      <c r="E10" s="68"/>
      <c r="F10" s="68"/>
      <c r="G10" s="69"/>
      <c r="H10" s="1"/>
      <c r="I10" s="1"/>
      <c r="J10" s="1"/>
      <c r="K10" s="1"/>
    </row>
    <row r="11" spans="1:11" ht="13.5" customHeight="1" x14ac:dyDescent="0.4">
      <c r="A11" s="67"/>
      <c r="B11" s="68"/>
      <c r="C11" s="68"/>
      <c r="D11" s="68"/>
      <c r="E11" s="68"/>
      <c r="F11" s="68"/>
      <c r="G11" s="69"/>
      <c r="H11" s="1"/>
      <c r="I11" s="1"/>
      <c r="J11" s="1"/>
      <c r="K11" s="1"/>
    </row>
    <row r="12" spans="1:11" ht="13.5" customHeight="1" x14ac:dyDescent="0.4">
      <c r="A12" s="67"/>
      <c r="B12" s="68"/>
      <c r="C12" s="68"/>
      <c r="D12" s="68"/>
      <c r="E12" s="68"/>
      <c r="F12" s="68"/>
      <c r="G12" s="69"/>
      <c r="H12" s="1"/>
      <c r="I12" s="1"/>
      <c r="J12" s="1"/>
      <c r="K12" s="1"/>
    </row>
    <row r="13" spans="1:11" ht="13.5" customHeight="1" x14ac:dyDescent="0.4">
      <c r="A13" s="67"/>
      <c r="B13" s="68"/>
      <c r="C13" s="68"/>
      <c r="D13" s="68"/>
      <c r="E13" s="68"/>
      <c r="F13" s="68"/>
      <c r="G13" s="69"/>
      <c r="H13" s="1"/>
      <c r="I13" s="1"/>
      <c r="J13" s="1"/>
      <c r="K13" s="1"/>
    </row>
    <row r="14" spans="1:11" ht="13.5" customHeight="1" x14ac:dyDescent="0.4">
      <c r="A14" s="67"/>
      <c r="B14" s="68"/>
      <c r="C14" s="68"/>
      <c r="D14" s="68"/>
      <c r="E14" s="68"/>
      <c r="F14" s="68"/>
      <c r="G14" s="69"/>
      <c r="H14" s="1"/>
      <c r="I14" s="1"/>
      <c r="J14" s="1"/>
      <c r="K14" s="1"/>
    </row>
    <row r="15" spans="1:11" ht="13.5" customHeight="1" x14ac:dyDescent="0.4">
      <c r="A15" s="67"/>
      <c r="B15" s="68"/>
      <c r="C15" s="68"/>
      <c r="D15" s="68"/>
      <c r="E15" s="68"/>
      <c r="F15" s="68"/>
      <c r="G15" s="69"/>
      <c r="H15" s="1"/>
      <c r="I15" s="1"/>
      <c r="J15" s="1"/>
      <c r="K15" s="1"/>
    </row>
    <row r="16" spans="1:11" ht="13.5" customHeight="1" x14ac:dyDescent="0.4">
      <c r="A16" s="67"/>
      <c r="B16" s="68"/>
      <c r="C16" s="68"/>
      <c r="D16" s="68"/>
      <c r="E16" s="68"/>
      <c r="F16" s="68"/>
      <c r="G16" s="69"/>
      <c r="H16" s="1"/>
      <c r="I16" s="1"/>
      <c r="J16" s="1"/>
      <c r="K16" s="1"/>
    </row>
    <row r="17" spans="1:11" ht="13.5" customHeight="1" x14ac:dyDescent="0.4">
      <c r="A17" s="67"/>
      <c r="B17" s="68"/>
      <c r="C17" s="68"/>
      <c r="D17" s="68"/>
      <c r="E17" s="68"/>
      <c r="F17" s="68"/>
      <c r="G17" s="69"/>
      <c r="H17" s="1"/>
      <c r="I17" s="1"/>
      <c r="J17" s="1"/>
      <c r="K17" s="1"/>
    </row>
    <row r="18" spans="1:11" ht="13.5" customHeight="1" x14ac:dyDescent="0.4">
      <c r="A18" s="67"/>
      <c r="B18" s="68"/>
      <c r="C18" s="68"/>
      <c r="D18" s="68"/>
      <c r="E18" s="68"/>
      <c r="F18" s="68"/>
      <c r="G18" s="69"/>
      <c r="H18" s="1"/>
      <c r="I18" s="1"/>
      <c r="J18" s="1"/>
      <c r="K18" s="1"/>
    </row>
    <row r="19" spans="1:11" ht="13.5" customHeight="1" x14ac:dyDescent="0.4">
      <c r="A19" s="67"/>
      <c r="B19" s="68"/>
      <c r="C19" s="68"/>
      <c r="D19" s="68"/>
      <c r="E19" s="68"/>
      <c r="F19" s="68"/>
      <c r="G19" s="69"/>
      <c r="H19" s="1"/>
      <c r="I19" s="1"/>
      <c r="J19" s="1"/>
      <c r="K19" s="1"/>
    </row>
    <row r="20" spans="1:11" ht="13.5" customHeight="1" x14ac:dyDescent="0.4">
      <c r="A20" s="67"/>
      <c r="B20" s="68"/>
      <c r="C20" s="68"/>
      <c r="D20" s="68"/>
      <c r="E20" s="68"/>
      <c r="F20" s="68"/>
      <c r="G20" s="69"/>
      <c r="H20" s="1"/>
      <c r="I20" s="1"/>
      <c r="J20" s="1"/>
      <c r="K20" s="1"/>
    </row>
    <row r="21" spans="1:11" ht="13.5" customHeight="1" x14ac:dyDescent="0.4">
      <c r="A21" s="67"/>
      <c r="B21" s="68"/>
      <c r="C21" s="68"/>
      <c r="D21" s="68"/>
      <c r="E21" s="68"/>
      <c r="F21" s="68"/>
      <c r="G21" s="69"/>
      <c r="H21" s="1"/>
      <c r="I21" s="1"/>
      <c r="J21" s="1"/>
      <c r="K21" s="1"/>
    </row>
    <row r="22" spans="1:11" ht="13.5" customHeight="1" x14ac:dyDescent="0.4">
      <c r="A22" s="67"/>
      <c r="B22" s="68"/>
      <c r="C22" s="68"/>
      <c r="D22" s="68"/>
      <c r="E22" s="68"/>
      <c r="F22" s="68"/>
      <c r="G22" s="69"/>
      <c r="H22" s="1"/>
      <c r="I22" s="1"/>
      <c r="J22" s="1"/>
      <c r="K22" s="1"/>
    </row>
    <row r="23" spans="1:11" ht="13.5" customHeight="1" x14ac:dyDescent="0.4">
      <c r="A23" s="67"/>
      <c r="B23" s="68"/>
      <c r="C23" s="68"/>
      <c r="D23" s="68"/>
      <c r="E23" s="68"/>
      <c r="F23" s="68"/>
      <c r="G23" s="69"/>
      <c r="H23" s="1"/>
      <c r="I23" s="1"/>
      <c r="J23" s="1"/>
      <c r="K23" s="1"/>
    </row>
    <row r="24" spans="1:11" ht="13.5" customHeight="1" x14ac:dyDescent="0.4">
      <c r="A24" s="70"/>
      <c r="B24" s="71"/>
      <c r="C24" s="71"/>
      <c r="D24" s="71"/>
      <c r="E24" s="71"/>
      <c r="F24" s="71"/>
      <c r="G24" s="72"/>
      <c r="H24" s="1"/>
      <c r="I24" s="1"/>
      <c r="J24" s="1"/>
      <c r="K24" s="1"/>
    </row>
    <row r="25" spans="1:11" ht="13.5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3.5" customHeight="1" x14ac:dyDescent="0.4">
      <c r="A26" s="58"/>
      <c r="B26" s="59"/>
      <c r="C26" s="59"/>
      <c r="D26" s="59"/>
      <c r="E26" s="59"/>
      <c r="F26" s="59"/>
      <c r="G26" s="60"/>
      <c r="H26" s="1"/>
      <c r="I26" s="1"/>
      <c r="J26" s="1"/>
      <c r="K26" s="1"/>
    </row>
    <row r="27" spans="1:11" ht="13.5" customHeight="1" x14ac:dyDescent="0.4">
      <c r="A27" s="57"/>
      <c r="B27" s="54"/>
      <c r="C27" s="54"/>
      <c r="D27" s="54"/>
      <c r="E27" s="54"/>
      <c r="F27" s="54"/>
      <c r="G27" s="56"/>
      <c r="H27" s="1"/>
      <c r="I27" s="1"/>
      <c r="J27" s="1"/>
      <c r="K27" s="1"/>
    </row>
    <row r="28" spans="1:11" ht="13.5" customHeight="1" x14ac:dyDescent="0.4">
      <c r="A28" s="57"/>
      <c r="B28" s="54"/>
      <c r="C28" s="54"/>
      <c r="D28" s="54"/>
      <c r="E28" s="54"/>
      <c r="F28" s="54"/>
      <c r="G28" s="56"/>
      <c r="H28" s="1"/>
      <c r="I28" s="1"/>
      <c r="J28" s="1"/>
      <c r="K28" s="1"/>
    </row>
    <row r="29" spans="1:11" ht="13.5" customHeight="1" x14ac:dyDescent="0.4">
      <c r="A29" s="57"/>
      <c r="B29" s="54"/>
      <c r="C29" s="54"/>
      <c r="D29" s="54"/>
      <c r="E29" s="54"/>
      <c r="F29" s="54"/>
      <c r="G29" s="56"/>
      <c r="H29" s="1"/>
      <c r="I29" s="1"/>
      <c r="J29" s="1"/>
      <c r="K29" s="1"/>
    </row>
    <row r="30" spans="1:11" ht="13.5" customHeight="1" x14ac:dyDescent="0.4">
      <c r="A30" s="57"/>
      <c r="B30" s="54"/>
      <c r="C30" s="54"/>
      <c r="D30" s="54"/>
      <c r="E30" s="54"/>
      <c r="F30" s="54"/>
      <c r="G30" s="56"/>
      <c r="H30" s="1"/>
      <c r="I30" s="1"/>
      <c r="J30" s="1"/>
      <c r="K30" s="1"/>
    </row>
    <row r="31" spans="1:11" ht="13.5" customHeight="1" x14ac:dyDescent="0.4">
      <c r="A31" s="57"/>
      <c r="B31" s="54"/>
      <c r="C31" s="54"/>
      <c r="D31" s="54"/>
      <c r="E31" s="54"/>
      <c r="F31" s="54"/>
      <c r="G31" s="56"/>
      <c r="H31" s="1"/>
      <c r="I31" s="1"/>
      <c r="J31" s="1"/>
      <c r="K31" s="1"/>
    </row>
    <row r="32" spans="1:11" ht="13.5" customHeight="1" x14ac:dyDescent="0.4">
      <c r="A32" s="57"/>
      <c r="B32" s="54"/>
      <c r="C32" s="54"/>
      <c r="D32" s="54"/>
      <c r="E32" s="54"/>
      <c r="F32" s="54"/>
      <c r="G32" s="56"/>
      <c r="H32" s="1"/>
      <c r="I32" s="1"/>
      <c r="J32" s="1"/>
      <c r="K32" s="1"/>
    </row>
    <row r="33" spans="1:11" ht="13.5" customHeight="1" x14ac:dyDescent="0.4">
      <c r="A33" s="57"/>
      <c r="B33" s="54"/>
      <c r="C33" s="54"/>
      <c r="D33" s="54"/>
      <c r="E33" s="54"/>
      <c r="F33" s="54"/>
      <c r="G33" s="56"/>
      <c r="H33" s="1"/>
      <c r="I33" s="1"/>
      <c r="J33" s="1"/>
      <c r="K33" s="1"/>
    </row>
    <row r="34" spans="1:11" ht="13.5" customHeight="1" x14ac:dyDescent="0.4">
      <c r="A34" s="57"/>
      <c r="B34" s="54"/>
      <c r="C34" s="54"/>
      <c r="D34" s="54"/>
      <c r="E34" s="54"/>
      <c r="F34" s="54"/>
      <c r="G34" s="56"/>
      <c r="H34" s="1"/>
      <c r="I34" s="1"/>
      <c r="J34" s="1"/>
      <c r="K34" s="1"/>
    </row>
    <row r="35" spans="1:11" ht="13.5" customHeight="1" x14ac:dyDescent="0.4">
      <c r="A35" s="57"/>
      <c r="B35" s="54"/>
      <c r="C35" s="54"/>
      <c r="D35" s="54"/>
      <c r="E35" s="54"/>
      <c r="F35" s="54"/>
      <c r="G35" s="56"/>
      <c r="H35" s="1"/>
      <c r="I35" s="1"/>
      <c r="J35" s="1"/>
      <c r="K35" s="1"/>
    </row>
    <row r="36" spans="1:11" ht="13.5" customHeight="1" x14ac:dyDescent="0.4">
      <c r="A36" s="57"/>
      <c r="B36" s="54"/>
      <c r="C36" s="54"/>
      <c r="D36" s="54"/>
      <c r="E36" s="54"/>
      <c r="F36" s="54"/>
      <c r="G36" s="56"/>
      <c r="H36" s="1"/>
      <c r="I36" s="1"/>
      <c r="J36" s="1"/>
      <c r="K36" s="1"/>
    </row>
    <row r="37" spans="1:11" ht="13.5" customHeight="1" x14ac:dyDescent="0.4">
      <c r="A37" s="57"/>
      <c r="B37" s="54"/>
      <c r="C37" s="54"/>
      <c r="D37" s="54"/>
      <c r="E37" s="54"/>
      <c r="F37" s="54"/>
      <c r="G37" s="56"/>
      <c r="H37" s="1"/>
      <c r="I37" s="1"/>
      <c r="J37" s="1"/>
      <c r="K37" s="1"/>
    </row>
    <row r="38" spans="1:11" ht="13.5" customHeight="1" x14ac:dyDescent="0.4">
      <c r="A38" s="57"/>
      <c r="B38" s="54"/>
      <c r="C38" s="54"/>
      <c r="D38" s="54"/>
      <c r="E38" s="54"/>
      <c r="F38" s="54"/>
      <c r="G38" s="56"/>
      <c r="H38" s="1"/>
      <c r="I38" s="1"/>
      <c r="J38" s="1"/>
      <c r="K38" s="1"/>
    </row>
    <row r="39" spans="1:11" ht="13.5" customHeight="1" x14ac:dyDescent="0.4">
      <c r="A39" s="57"/>
      <c r="B39" s="54"/>
      <c r="C39" s="54"/>
      <c r="D39" s="54"/>
      <c r="E39" s="54"/>
      <c r="F39" s="54"/>
      <c r="G39" s="56"/>
      <c r="H39" s="1"/>
      <c r="I39" s="1"/>
      <c r="J39" s="1"/>
      <c r="K39" s="1"/>
    </row>
    <row r="40" spans="1:11" ht="13.5" customHeight="1" x14ac:dyDescent="0.4">
      <c r="A40" s="57"/>
      <c r="B40" s="54"/>
      <c r="C40" s="54"/>
      <c r="D40" s="54"/>
      <c r="E40" s="54"/>
      <c r="F40" s="54"/>
      <c r="G40" s="56"/>
      <c r="H40" s="1"/>
      <c r="I40" s="1"/>
      <c r="J40" s="1"/>
      <c r="K40" s="1"/>
    </row>
    <row r="41" spans="1:11" ht="13.5" customHeight="1" x14ac:dyDescent="0.4">
      <c r="A41" s="57"/>
      <c r="B41" s="54"/>
      <c r="C41" s="54"/>
      <c r="D41" s="54"/>
      <c r="E41" s="54"/>
      <c r="F41" s="54"/>
      <c r="G41" s="56"/>
      <c r="H41" s="1"/>
      <c r="I41" s="1"/>
      <c r="J41" s="1"/>
      <c r="K41" s="1"/>
    </row>
    <row r="42" spans="1:11" ht="13.5" customHeight="1" x14ac:dyDescent="0.4">
      <c r="A42" s="57"/>
      <c r="B42" s="54"/>
      <c r="C42" s="54"/>
      <c r="D42" s="54"/>
      <c r="E42" s="54"/>
      <c r="F42" s="54"/>
      <c r="G42" s="56"/>
      <c r="H42" s="1"/>
      <c r="I42" s="1"/>
      <c r="J42" s="1"/>
      <c r="K42" s="1"/>
    </row>
    <row r="43" spans="1:11" ht="13.5" customHeight="1" x14ac:dyDescent="0.4">
      <c r="A43" s="57"/>
      <c r="B43" s="54"/>
      <c r="C43" s="54"/>
      <c r="D43" s="54"/>
      <c r="E43" s="54"/>
      <c r="F43" s="54"/>
      <c r="G43" s="56"/>
      <c r="H43" s="1"/>
      <c r="I43" s="1"/>
      <c r="J43" s="1"/>
      <c r="K43" s="1"/>
    </row>
    <row r="44" spans="1:11" ht="13.5" customHeight="1" x14ac:dyDescent="0.4">
      <c r="A44" s="61"/>
      <c r="B44" s="62"/>
      <c r="C44" s="62"/>
      <c r="D44" s="62"/>
      <c r="E44" s="62"/>
      <c r="F44" s="62"/>
      <c r="G44" s="63"/>
      <c r="H44" s="1"/>
      <c r="I44" s="1"/>
      <c r="J44" s="1"/>
      <c r="K44" s="1"/>
    </row>
    <row r="45" spans="1:11" ht="13.5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3.5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3.5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3.5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3.5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3.5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3.5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3.5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3.5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3.5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3.5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3.5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3.5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3.5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3.5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3.5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3.5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3.5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3.5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3.5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3.5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3.5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3.5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3.5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3.5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3.5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3.5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3.5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3.5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3.5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3.5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3.5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3.5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3.5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3.5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3.5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3.5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3.5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3.5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3.5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3.5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3.5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3.5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3.5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3.5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3.5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3.5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3.5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3.5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3.5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3.5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3.5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3.5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3.5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3.5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3.5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4">
    <mergeCell ref="A1:G1"/>
    <mergeCell ref="A3:G3"/>
    <mergeCell ref="A6:G24"/>
    <mergeCell ref="A26:G44"/>
  </mergeCells>
  <pageMargins left="0.19685039370078741" right="0.19685039370078741" top="0.19685039370078741" bottom="0.19685039370078741" header="0" footer="0"/>
  <pageSetup paperSize="9" scale="9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Anagrafica</vt:lpstr>
      <vt:lpstr>Es1</vt:lpstr>
      <vt:lpstr>Es2</vt:lpstr>
      <vt:lpstr>Es3</vt:lpstr>
      <vt:lpstr>Do1</vt:lpstr>
      <vt:lpstr>Do2</vt:lpstr>
      <vt:lpstr>Do3</vt:lpstr>
    </vt:vector>
  </TitlesOfParts>
  <Company>Universita' Luigi Bocconi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Default</dc:creator>
  <cp:lastModifiedBy>DARIO MOSCATELLO</cp:lastModifiedBy>
  <cp:lastPrinted>2023-05-17T15:49:04Z</cp:lastPrinted>
  <dcterms:created xsi:type="dcterms:W3CDTF">2015-04-17T13:08:31Z</dcterms:created>
  <dcterms:modified xsi:type="dcterms:W3CDTF">2026-06-28T21:05:39Z</dcterms:modified>
</cp:coreProperties>
</file>