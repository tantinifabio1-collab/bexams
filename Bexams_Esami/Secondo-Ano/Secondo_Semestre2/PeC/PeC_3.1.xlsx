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Documenti\Corso P&amp;C 2023\"/>
    </mc:Choice>
  </mc:AlternateContent>
  <bookViews>
    <workbookView xWindow="0" yWindow="0" windowWidth="19200" windowHeight="8348"/>
  </bookViews>
  <sheets>
    <sheet name="Anagrafica" sheetId="8" r:id="rId1"/>
    <sheet name="esercizio 1" sheetId="1" r:id="rId2"/>
    <sheet name="Esercizio 2" sheetId="13" r:id="rId3"/>
    <sheet name="esercizio 3" sheetId="3" r:id="rId4"/>
    <sheet name="esercizio 4" sheetId="5" r:id="rId5"/>
    <sheet name="domanda 1" sheetId="7" r:id="rId6"/>
    <sheet name="domanda 2" sheetId="9" r:id="rId7"/>
    <sheet name="domanda 3" sheetId="10" r:id="rId8"/>
    <sheet name="domanda 4" sheetId="11" r:id="rId9"/>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5" l="1"/>
  <c r="F46" i="5"/>
  <c r="B52" i="5"/>
  <c r="B53" i="5"/>
  <c r="B54" i="5"/>
  <c r="F40" i="5"/>
  <c r="D40" i="5"/>
  <c r="B40" i="5"/>
  <c r="F16" i="5"/>
  <c r="H35" i="5"/>
  <c r="H33" i="5"/>
  <c r="F31" i="5"/>
  <c r="H31" i="5" s="1"/>
  <c r="F29" i="5"/>
  <c r="H29" i="5" s="1"/>
  <c r="F33" i="5"/>
  <c r="F35" i="5"/>
  <c r="D35" i="5"/>
  <c r="D33" i="5"/>
  <c r="D31" i="5"/>
  <c r="D29" i="5"/>
  <c r="B35" i="5"/>
  <c r="B33" i="5"/>
  <c r="B31" i="5"/>
  <c r="B29" i="5"/>
  <c r="D49" i="3"/>
  <c r="B43" i="3"/>
  <c r="D40" i="3"/>
  <c r="C37" i="3"/>
  <c r="C43" i="3" s="1"/>
  <c r="D37" i="3"/>
  <c r="D43" i="3" s="1"/>
  <c r="B37" i="3"/>
  <c r="D39" i="3"/>
  <c r="D35" i="3"/>
  <c r="D34" i="3"/>
  <c r="D33" i="3"/>
  <c r="C33" i="3"/>
  <c r="B33" i="3"/>
  <c r="C31" i="3"/>
  <c r="D31" i="3"/>
  <c r="B31" i="3"/>
  <c r="D27" i="3"/>
  <c r="C27" i="3"/>
  <c r="B27" i="3"/>
  <c r="D26" i="3"/>
  <c r="C26" i="3"/>
  <c r="B26" i="3"/>
  <c r="D25" i="3"/>
  <c r="C25" i="3"/>
  <c r="B25" i="3"/>
  <c r="E12" i="3"/>
  <c r="B12" i="3"/>
  <c r="C31" i="13"/>
  <c r="C30" i="13"/>
  <c r="D30" i="13"/>
  <c r="D29" i="13"/>
  <c r="C29" i="13"/>
  <c r="B29" i="13"/>
  <c r="B15" i="13"/>
  <c r="D15" i="13"/>
  <c r="C15" i="13" s="1"/>
  <c r="C16" i="13" s="1"/>
  <c r="C17" i="13" s="1"/>
  <c r="B14" i="13"/>
  <c r="B21" i="13"/>
  <c r="C14" i="13"/>
  <c r="C21" i="13" s="1"/>
  <c r="D16" i="13" l="1"/>
  <c r="G51" i="1"/>
  <c r="H46" i="1"/>
  <c r="G42" i="1"/>
  <c r="H38" i="1"/>
  <c r="G38" i="1"/>
  <c r="E38" i="1"/>
  <c r="D41" i="1"/>
  <c r="D40" i="1"/>
  <c r="B47" i="1"/>
  <c r="B46" i="1"/>
  <c r="D39" i="1"/>
  <c r="B42" i="1"/>
  <c r="D38" i="1"/>
  <c r="B38" i="1"/>
  <c r="C22" i="1"/>
  <c r="C25" i="1" s="1"/>
  <c r="C26" i="1" s="1"/>
  <c r="E7" i="1"/>
  <c r="C24" i="1" s="1"/>
  <c r="D17" i="13" l="1"/>
  <c r="D23" i="13" s="1"/>
  <c r="B16" i="13"/>
  <c r="B17" i="13" s="1"/>
  <c r="B24" i="1"/>
  <c r="C21" i="1"/>
  <c r="B21" i="1" s="1"/>
  <c r="B27" i="1" s="1"/>
  <c r="B23" i="13" l="1"/>
  <c r="C23" i="13"/>
  <c r="B11" i="5"/>
  <c r="D14" i="3" l="1"/>
  <c r="G16" i="3"/>
  <c r="G15" i="3"/>
  <c r="G14" i="3"/>
  <c r="D16" i="3"/>
  <c r="D15" i="3"/>
  <c r="F7" i="5"/>
  <c r="F6" i="5"/>
</calcChain>
</file>

<file path=xl/sharedStrings.xml><?xml version="1.0" encoding="utf-8"?>
<sst xmlns="http://schemas.openxmlformats.org/spreadsheetml/2006/main" count="171" uniqueCount="147">
  <si>
    <t>Il costo standard unitario del prodotto è il seguente:</t>
  </si>
  <si>
    <t>unità</t>
  </si>
  <si>
    <t>Magazzino Materiali Diretti</t>
  </si>
  <si>
    <t>Semilavorati - Commessa XXX</t>
  </si>
  <si>
    <t>Magazzino Prodotti Finiti</t>
  </si>
  <si>
    <t>Costo del Venduto</t>
  </si>
  <si>
    <t>Costi Indiretti Produzione</t>
  </si>
  <si>
    <t>Quantità</t>
  </si>
  <si>
    <t>€/Quantità</t>
  </si>
  <si>
    <t>€/unità</t>
  </si>
  <si>
    <t>Materie prime</t>
  </si>
  <si>
    <t>g</t>
  </si>
  <si>
    <t>€/g</t>
  </si>
  <si>
    <t>MOD</t>
  </si>
  <si>
    <t>h</t>
  </si>
  <si>
    <t>€/h</t>
  </si>
  <si>
    <t>Unità prodotte (unità)</t>
  </si>
  <si>
    <t>Costi indiretti variabili totali (€)</t>
  </si>
  <si>
    <t>Questi, invece, i dati consuntivi:</t>
  </si>
  <si>
    <t>Materie prime utilizzate (g)</t>
  </si>
  <si>
    <t>Costo materie prime (€/g)</t>
  </si>
  <si>
    <t>Ore MOD lavorate (h)</t>
  </si>
  <si>
    <t>Tariffa oraria mod (€/h)</t>
  </si>
  <si>
    <t>Costi indiretti fissi totali (€)</t>
  </si>
  <si>
    <t>BUDGET</t>
  </si>
  <si>
    <t>BUDGET FLESS</t>
  </si>
  <si>
    <t>CONSUNTIVO</t>
  </si>
  <si>
    <t>Materie Prime</t>
  </si>
  <si>
    <t>CIV</t>
  </si>
  <si>
    <t>CIF</t>
  </si>
  <si>
    <t>Totale</t>
  </si>
  <si>
    <t>Scostamento volume di produzione</t>
  </si>
  <si>
    <t>Sovra/sottoassorbimento</t>
  </si>
  <si>
    <t>Volumi di vendita e produzione</t>
  </si>
  <si>
    <t>Prezzo di vendita</t>
  </si>
  <si>
    <t>Q std</t>
  </si>
  <si>
    <t>P std</t>
  </si>
  <si>
    <t>Costo std</t>
  </si>
  <si>
    <t>MD</t>
  </si>
  <si>
    <t>Ricavi di vendita</t>
  </si>
  <si>
    <t>Domande</t>
  </si>
  <si>
    <t>Materiali Diretti</t>
  </si>
  <si>
    <t>Manodopera Diretta</t>
  </si>
  <si>
    <t>Volumi richiesti</t>
  </si>
  <si>
    <t>Prezzo Unitario</t>
  </si>
  <si>
    <t xml:space="preserve">Costo del Lavoro </t>
  </si>
  <si>
    <t>DOMANDA 1 (punti 2)</t>
  </si>
  <si>
    <t>RISPOSTA</t>
  </si>
  <si>
    <t>Nome</t>
  </si>
  <si>
    <t>Cognome</t>
  </si>
  <si>
    <t>Matricola</t>
  </si>
  <si>
    <t>Classe</t>
  </si>
  <si>
    <t>DOMANDA 2 (punti 2)</t>
  </si>
  <si>
    <t>DOMANDA 3 (punti 2)</t>
  </si>
  <si>
    <t>DOMANDA 4 (punti 2)</t>
  </si>
  <si>
    <t>ESERCIZIO 2 (punti 6)</t>
  </si>
  <si>
    <r>
      <rPr>
        <b/>
        <sz val="12"/>
        <color theme="1"/>
        <rFont val="Arial"/>
        <family val="2"/>
      </rPr>
      <t xml:space="preserve">3. </t>
    </r>
    <r>
      <rPr>
        <sz val="12"/>
        <color theme="1"/>
        <rFont val="Arial"/>
        <family val="2"/>
      </rPr>
      <t>Ipotizzando l'utilizzo di un sistema a valori normalizzati, si determini l'eventuale sovra/sottoassorbimento di costi indiretti fissi e lo scostamento di volume di produzione</t>
    </r>
  </si>
  <si>
    <t>ESERCIZIO 1 (punti 5)</t>
  </si>
  <si>
    <t>ESERCIZIO 3 (punti 6)</t>
  </si>
  <si>
    <t>ESERCIZIO 4 (punti 6)</t>
  </si>
  <si>
    <t>Ai fini della progettazione dei sistemi di controllo, si illustrino le caratteristiche che devono possedere gli indicatori di performance dei centri di responsabilità.</t>
  </si>
  <si>
    <t>Coefficiente di allocazione preventivo CIF di produzione (€/unità)</t>
  </si>
  <si>
    <t>Unità prodotte previste (unità)</t>
  </si>
  <si>
    <t>Costi indiretti variabili totali previsti (€)</t>
  </si>
  <si>
    <t>Costi indiretti variabili previsti (€/unità)</t>
  </si>
  <si>
    <t>Crediti Verso Clienti</t>
  </si>
  <si>
    <t>Poiché l'azienda utilizza un sistema di contabilità per commessa, si proceda con l'alimentazione dei mastrini contabili sotto riportati relativi alla commessa per il cliente tedesco (non sono richieste le scritture contabili)</t>
  </si>
  <si>
    <r>
      <rPr>
        <b/>
        <sz val="11"/>
        <color theme="1"/>
        <rFont val="Arial"/>
        <family val="2"/>
      </rPr>
      <t xml:space="preserve">1. </t>
    </r>
    <r>
      <rPr>
        <sz val="11"/>
        <color theme="1"/>
        <rFont val="Arial"/>
        <family val="2"/>
      </rPr>
      <t xml:space="preserve">Sulla base delle informazioni riportate si elabori il </t>
    </r>
    <r>
      <rPr>
        <b/>
        <sz val="11"/>
        <color theme="1"/>
        <rFont val="Arial"/>
        <family val="2"/>
      </rPr>
      <t>Conto Economico consuntivo della Drive Safe</t>
    </r>
    <r>
      <rPr>
        <sz val="11"/>
        <color theme="1"/>
        <rFont val="Arial"/>
        <family val="2"/>
      </rPr>
      <t xml:space="preserve">, articolandolo sulla base delle </t>
    </r>
    <r>
      <rPr>
        <b/>
        <sz val="11"/>
        <color theme="1"/>
        <rFont val="Arial"/>
        <family val="2"/>
      </rPr>
      <t>linee di prodotto</t>
    </r>
    <r>
      <rPr>
        <sz val="11"/>
        <color theme="1"/>
        <rFont val="Arial"/>
        <family val="2"/>
      </rPr>
      <t xml:space="preserve"> ed evidenziando:
- Il margine di contribuzione
- Il risultato economico su cui valutare la performance dei brand manager
- Il risultato economico delle due linee di prodotto
- Il risultato economico complessivo</t>
    </r>
  </si>
  <si>
    <t>Si evidenzino le differenze tra un sistema a costo variabile e un sistema a costo pieno.</t>
  </si>
  <si>
    <t>La Tyson è un'azienda operante nella progettazione e produzione di elettrodomestici e, in particolare, lavatrici</t>
  </si>
  <si>
    <t>Il prezzo normale di vendita (listino) di una lavatrice  è pari a:</t>
  </si>
  <si>
    <t>(5 ore a €25/ora)</t>
  </si>
  <si>
    <t xml:space="preserve">L'azienda dispone di una capacità libera pari a </t>
  </si>
  <si>
    <t>L'azienda riceve un ordine da un cliente tedesco con le seguenti caratteristiche:</t>
  </si>
  <si>
    <t>ore</t>
  </si>
  <si>
    <t>Qualora accettasse l'ordine del cliente, dovrebbe rinunciare alla produzione e vendita di altre lavatrici alle condizioni normali date</t>
  </si>
  <si>
    <t>margine emergente</t>
  </si>
  <si>
    <t>MCU</t>
  </si>
  <si>
    <t>volumi</t>
  </si>
  <si>
    <t>margine cessante</t>
  </si>
  <si>
    <t>ore da liberare</t>
  </si>
  <si>
    <t>lavatrici in meno</t>
  </si>
  <si>
    <t>risultato differenziale</t>
  </si>
  <si>
    <t>Si valuti la convenienza economica ad accettare o rifiutare l’ordine determinando il risultato differenziale ottenuto in caso di accettazione</t>
  </si>
  <si>
    <t>Costi Indiretti Variabili di produzione</t>
  </si>
  <si>
    <t>Costi Indiretti Fissi di produzione</t>
  </si>
  <si>
    <t>Ricavi</t>
  </si>
  <si>
    <t>Ricavi di pareggio</t>
  </si>
  <si>
    <t>Margine di contribuzione %</t>
  </si>
  <si>
    <t>Margine di contribuzione</t>
  </si>
  <si>
    <t>Costi fissi aziendali</t>
  </si>
  <si>
    <t>Indice margine di contribuzione</t>
  </si>
  <si>
    <t>Margine di contribuzione unitario (€)</t>
  </si>
  <si>
    <t>Prezzo di vendita unitario (€)</t>
  </si>
  <si>
    <t>Mix di ricavi</t>
  </si>
  <si>
    <t>Il controller dsta esaminando i seguenti dati (in parte incompleti) relativi ai due prodotti dell'azienda:</t>
  </si>
  <si>
    <t>Prodotto Smart</t>
  </si>
  <si>
    <t>Prodotto Fast</t>
  </si>
  <si>
    <t>2. Si determini, dati gli attuali prezzi e costi variabili unitari e l'attuale mix di vendita in ricavi, i ricavi di pareggio aziendali e conseguentemente di singolo prodotto</t>
  </si>
  <si>
    <t>1. In base alle informazioni fornite si compili la tabella sottostante</t>
  </si>
  <si>
    <t>Mix ricavo</t>
  </si>
  <si>
    <t>MC%</t>
  </si>
  <si>
    <t>Quantià di pareggio</t>
  </si>
  <si>
    <t>3 Ipotizzando per il periodo successivo che, a parità di altre condizioni, il mix di ricavo diventi: Smart 60%, Fast 40%, quante unità di prodotto Fast dovrebbero essere vendute per consentire all'azienda il pareggio economico?</t>
  </si>
  <si>
    <t>La Printing srl produce e commercializza stampanti laser e stampanti integrate con scanner. 
Ciascuna delle due linee di prodotto è gestita da un Sale Manager che è  responsabile della vendita, della gestione dei venditori, della logistica distributiva e della pubblicità.
La produzione è gestita da un direttore di produzione, che è ritenuto responsabile dei costi industriali</t>
  </si>
  <si>
    <t>Con riferimento al periodo, l’azienda dispone delle seguenti informazioni:</t>
  </si>
  <si>
    <t>Laser</t>
  </si>
  <si>
    <t>Integrate</t>
  </si>
  <si>
    <t>La scheda del costo standard di produzione (variabile)  è la seguente:</t>
  </si>
  <si>
    <t>CIV di produzione (allocati sulla base delle h. MOD)</t>
  </si>
  <si>
    <t>• Per l’attività di vendita sono stati impiegati 8 venditori, 5 per la linea Laser e 3 per la linea Integrate. Il costo annuo di un singolo venditore è stato pari a €50.000. Entrambi I Sales managers si sono avvalsi di agenti cui è stata riconosciuta una provvigione pari al 2% dei ricavi.
• Il costo annuo dei Sale Manager è di 80.000€ ciascuno
• Sono state svolte iniziative pubblicitarie dedicate alle linee di prodotto, sostenendo costi rispettivamente pari a € 100.000 per la linea Laser e € 130.000 per la linea Integrate. Il costo della pubblicità istituzionale è stato pari a € 80.000.
I costi di logistica distributiva a budget erano previsti in € 80.000 per le Laser e 60.000 per le integrate, mentre a consuntivo sono risultate pari rispettivamente a € 78.000 e 64.000
• I costi generali e amministrativi ammontano a € 350.000</t>
  </si>
  <si>
    <t>Stampanti Laser</t>
  </si>
  <si>
    <t>Stampanti Integrate</t>
  </si>
  <si>
    <t>provvigioni</t>
  </si>
  <si>
    <t>Costo standard variabile del venduto</t>
  </si>
  <si>
    <t>Le varianze registrate con riferimento ai costi variabili di produzione sono sfavorevoli e pari a 45.000€ per le stampanti Laser e favorevoli e pari a 30.000€ per le stampanti Integrate. L’azienda ha inoltre sostenuto costi indiretti fissi di produzione per 55.000€ comuni alle due linee.</t>
  </si>
  <si>
    <t>venditori</t>
  </si>
  <si>
    <t>pubblicità</t>
  </si>
  <si>
    <t>logistica</t>
  </si>
  <si>
    <t>sale manager</t>
  </si>
  <si>
    <t>non penalizzare se incluso sopra</t>
  </si>
  <si>
    <t xml:space="preserve"> -1 se inserito valore di budget</t>
  </si>
  <si>
    <t>Margine controllabile</t>
  </si>
  <si>
    <t>varianze costi variabili di produzione</t>
  </si>
  <si>
    <t>Margine specifico di segmento</t>
  </si>
  <si>
    <t>EBIT</t>
  </si>
  <si>
    <t>costi fissi produzione</t>
  </si>
  <si>
    <t>pubblicità istituzionale</t>
  </si>
  <si>
    <t>costi generali e amm</t>
  </si>
  <si>
    <t>Il controller   ha raccolto i seguenti dati di budget relativi all'unico prodotto dell'azienda:</t>
  </si>
  <si>
    <r>
      <rPr>
        <b/>
        <sz val="12"/>
        <color theme="1"/>
        <rFont val="Arial"/>
        <family val="2"/>
      </rPr>
      <t xml:space="preserve">2. </t>
    </r>
    <r>
      <rPr>
        <sz val="12"/>
        <color theme="1"/>
        <rFont val="Arial"/>
        <family val="2"/>
      </rPr>
      <t>Si determinino gli scostamenti relativi ai costi  MOD</t>
    </r>
  </si>
  <si>
    <t>Scostamenti costi MOD</t>
  </si>
  <si>
    <r>
      <rPr>
        <b/>
        <sz val="12"/>
        <color theme="1"/>
        <rFont val="Arial"/>
        <family val="2"/>
      </rPr>
      <t>1.</t>
    </r>
    <r>
      <rPr>
        <sz val="12"/>
        <color theme="1"/>
        <rFont val="Arial"/>
        <family val="2"/>
      </rPr>
      <t>In base alle informazioni a disposizione si predispongano il budget, il budget flessibile e il consuntivo dei costi di produzione</t>
    </r>
  </si>
  <si>
    <t>Scostamento da budget flessibile (controllo costi)</t>
  </si>
  <si>
    <t>Qualifica (Fav/Sfav)</t>
  </si>
  <si>
    <t>F</t>
  </si>
  <si>
    <t>S</t>
  </si>
  <si>
    <t>Prezzo/Spesa</t>
  </si>
  <si>
    <t>Quantità/Efficienza</t>
  </si>
  <si>
    <t>qualifica (sotto/sovra)</t>
  </si>
  <si>
    <t>Costi allocati</t>
  </si>
  <si>
    <t>CB</t>
  </si>
  <si>
    <t>CE</t>
  </si>
  <si>
    <t>SOVRA</t>
  </si>
  <si>
    <t>Si indichino le fasi di progettazione di un sistema Activity based costing e in quali contesti tale sistema è da preferirsi rispetto a sistemi tradizionali</t>
  </si>
  <si>
    <t>Si specifichino le caratteristiche dei sistemi di misurazione dei costi per processo e si forniscano esempi di settori in cui tali sistemi trovano impiego</t>
  </si>
  <si>
    <t>Esame di Programmazione &amp; Controllo - Prova Generale del 25 gennaio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</si>
</sst>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4" formatCode="_-* #,##0.00\ &quot;€&quot;_-;\-* #,##0.00\ &quot;€&quot;_-;_-* &quot;-&quot;??\ &quot;€&quot;_-;_-@_-"/>
    <numFmt numFmtId="43" formatCode="_-* #,##0.00\ _€_-;\-* #,##0.00\ _€_-;_-* &quot;-&quot;??\ _€_-;_-@_-"/>
    <numFmt numFmtId="164" formatCode="_-* #,##0.00_-;\-* #,##0.00_-;_-* &quot;-&quot;??_-;_-@_-"/>
    <numFmt numFmtId="165" formatCode="_-* #,##0_-;\-* #,##0_-;_-* &quot;-&quot;??_-;_-@_-"/>
    <numFmt numFmtId="166" formatCode="_-* #,##0.000_-;\-* #,##0.000_-;_-* &quot;-&quot;??_-;_-@_-"/>
    <numFmt numFmtId="167" formatCode="_-* #,##0.0_-;\-* #,##0.0_-;_-* &quot;-&quot;??_-;_-@_-"/>
    <numFmt numFmtId="168" formatCode="#,##0.00\ &quot;€&quot;"/>
    <numFmt numFmtId="169" formatCode="#,##0\ &quot;€&quot;"/>
    <numFmt numFmtId="170" formatCode="_-* #,##0\ &quot;€&quot;_-;\-* #,##0\ &quot;€&quot;_-;_-* &quot;-&quot;??\ &quot;€&quot;_-;_-@_-"/>
    <numFmt numFmtId="171" formatCode="0.000"/>
    <numFmt numFmtId="172" formatCode="_-* #,##0\ _€_-;\-* #,##0\ _€_-;_-* &quot;-&quot;??\ _€_-;_-@_-"/>
    <numFmt numFmtId="173" formatCode="_(* #,##0.00_);_(* \(#,##0.00\);_(* &quot;-&quot;??_);_(@_)"/>
    <numFmt numFmtId="174" formatCode="0.0%"/>
    <numFmt numFmtId="175" formatCode="0.0"/>
    <numFmt numFmtId="176" formatCode="0.0000"/>
    <numFmt numFmtId="177" formatCode="_-* #,##0.000\ &quot;€&quot;_-;\-* #,##0.000\ &quot;€&quot;_-;_-* &quot;-&quot;??\ &quot;€&quot;_-;_-@_-"/>
  </numFmts>
  <fonts count="19" x14ac:knownFonts="1">
    <font>
      <sz val="11"/>
      <color theme="1"/>
      <name val="Calibri"/>
      <family val="2"/>
      <scheme val="minor"/>
    </font>
    <font>
      <sz val="11"/>
      <color theme="1"/>
      <name val="Calibri"/>
      <family val="2"/>
      <scheme val="minor"/>
    </font>
    <font>
      <b/>
      <sz val="12"/>
      <color theme="1"/>
      <name val="Arial"/>
      <family val="2"/>
    </font>
    <font>
      <b/>
      <sz val="12"/>
      <color rgb="FFFF0000"/>
      <name val="Arial"/>
      <family val="2"/>
    </font>
    <font>
      <sz val="12"/>
      <color theme="1"/>
      <name val="Arial"/>
      <family val="2"/>
    </font>
    <font>
      <b/>
      <u/>
      <sz val="12"/>
      <color theme="1"/>
      <name val="Arial"/>
      <family val="2"/>
    </font>
    <font>
      <sz val="11"/>
      <color theme="1"/>
      <name val="Arial"/>
      <family val="2"/>
    </font>
    <font>
      <b/>
      <sz val="11"/>
      <color theme="1"/>
      <name val="Arial"/>
      <family val="2"/>
    </font>
    <font>
      <b/>
      <u/>
      <sz val="11"/>
      <color theme="1"/>
      <name val="Arial"/>
      <family val="2"/>
    </font>
    <font>
      <b/>
      <sz val="11"/>
      <color rgb="FFFF0000"/>
      <name val="Arial"/>
      <family val="2"/>
    </font>
    <font>
      <sz val="12"/>
      <color theme="1"/>
      <name val="Tahoma"/>
      <family val="2"/>
    </font>
    <font>
      <sz val="12"/>
      <name val="Arial"/>
      <family val="2"/>
    </font>
    <font>
      <sz val="11"/>
      <name val="Arial"/>
      <family val="2"/>
    </font>
    <font>
      <b/>
      <sz val="11"/>
      <name val="Arial"/>
      <family val="2"/>
    </font>
    <font>
      <sz val="11"/>
      <color rgb="FFFF0000"/>
      <name val="Arial"/>
      <family val="2"/>
    </font>
    <font>
      <sz val="10"/>
      <name val="Arial"/>
      <family val="2"/>
    </font>
    <font>
      <b/>
      <sz val="12"/>
      <name val="Arial"/>
      <family val="2"/>
    </font>
    <font>
      <b/>
      <sz val="12"/>
      <color theme="0"/>
      <name val="Arial"/>
      <family val="2"/>
    </font>
    <font>
      <b/>
      <sz val="11"/>
      <color theme="0"/>
      <name val="Arial"/>
      <family val="2"/>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theme="0" tint="-0.34998626667073579"/>
        <bgColor indexed="64"/>
      </patternFill>
    </fill>
    <fill>
      <patternFill patternType="solid">
        <fgColor theme="1"/>
        <bgColor indexed="64"/>
      </patternFill>
    </fill>
  </fills>
  <borders count="16">
    <border>
      <left/>
      <right/>
      <top/>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5" fillId="0" borderId="0"/>
    <xf numFmtId="173" fontId="15" fillId="0" borderId="0" applyFont="0" applyFill="0" applyBorder="0" applyAlignment="0" applyProtection="0"/>
    <xf numFmtId="43" fontId="1" fillId="0" borderId="0" applyFont="0" applyFill="0" applyBorder="0" applyAlignment="0" applyProtection="0"/>
  </cellStyleXfs>
  <cellXfs count="150">
    <xf numFmtId="0" fontId="0" fillId="0" borderId="0" xfId="0"/>
    <xf numFmtId="0" fontId="3" fillId="0" borderId="0" xfId="0" applyFont="1"/>
    <xf numFmtId="0" fontId="4" fillId="0" borderId="0" xfId="0" applyFont="1" applyAlignment="1">
      <alignment vertical="center"/>
    </xf>
    <xf numFmtId="0" fontId="4" fillId="0" borderId="0" xfId="0" applyFont="1"/>
    <xf numFmtId="0" fontId="2" fillId="0" borderId="0" xfId="0" applyFont="1" applyAlignment="1">
      <alignment horizontal="center"/>
    </xf>
    <xf numFmtId="0" fontId="4" fillId="0" borderId="5" xfId="0" applyFont="1" applyBorder="1"/>
    <xf numFmtId="0" fontId="4" fillId="0" borderId="9" xfId="0" applyFont="1" applyBorder="1"/>
    <xf numFmtId="0" fontId="4" fillId="0" borderId="10" xfId="0" applyFont="1" applyBorder="1"/>
    <xf numFmtId="0" fontId="4" fillId="0" borderId="4" xfId="0" applyFont="1" applyBorder="1"/>
    <xf numFmtId="164" fontId="4" fillId="0" borderId="0" xfId="3" applyFont="1" applyBorder="1"/>
    <xf numFmtId="0" fontId="4" fillId="0" borderId="11" xfId="0" applyFont="1" applyBorder="1"/>
    <xf numFmtId="0" fontId="4" fillId="0" borderId="12" xfId="0" applyFont="1" applyBorder="1"/>
    <xf numFmtId="0" fontId="4" fillId="0" borderId="13" xfId="0" applyFont="1" applyBorder="1"/>
    <xf numFmtId="164" fontId="4" fillId="0" borderId="1" xfId="3" applyFont="1" applyBorder="1"/>
    <xf numFmtId="165" fontId="4" fillId="0" borderId="5" xfId="3" applyNumberFormat="1" applyFont="1" applyBorder="1"/>
    <xf numFmtId="164" fontId="4" fillId="0" borderId="5" xfId="3" applyFont="1" applyBorder="1"/>
    <xf numFmtId="165" fontId="4" fillId="0" borderId="0" xfId="0" applyNumberFormat="1" applyFont="1"/>
    <xf numFmtId="0" fontId="5" fillId="0" borderId="0" xfId="0" applyFont="1"/>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right"/>
    </xf>
    <xf numFmtId="165" fontId="2" fillId="3" borderId="0" xfId="3" applyNumberFormat="1" applyFont="1" applyFill="1"/>
    <xf numFmtId="165" fontId="2" fillId="0" borderId="0" xfId="3" applyNumberFormat="1" applyFont="1"/>
    <xf numFmtId="0" fontId="2" fillId="0" borderId="0" xfId="0" applyFont="1"/>
    <xf numFmtId="165" fontId="2" fillId="0" borderId="0" xfId="3" applyNumberFormat="1" applyFont="1" applyFill="1"/>
    <xf numFmtId="0" fontId="4" fillId="0" borderId="0" xfId="0" applyFont="1" applyAlignment="1">
      <alignment horizontal="left"/>
    </xf>
    <xf numFmtId="0" fontId="6" fillId="0" borderId="0" xfId="0" applyFont="1"/>
    <xf numFmtId="0" fontId="7" fillId="0" borderId="0" xfId="0" applyFont="1"/>
    <xf numFmtId="0" fontId="6" fillId="0" borderId="0" xfId="0" applyFont="1" applyAlignment="1">
      <alignment horizontal="left"/>
    </xf>
    <xf numFmtId="0" fontId="6" fillId="0" borderId="0" xfId="0" quotePrefix="1" applyFont="1" applyAlignment="1">
      <alignment horizontal="right"/>
    </xf>
    <xf numFmtId="9" fontId="6" fillId="0" borderId="0" xfId="0" applyNumberFormat="1" applyFont="1"/>
    <xf numFmtId="0" fontId="6" fillId="0" borderId="0" xfId="0" applyFont="1" applyAlignment="1">
      <alignment horizontal="center"/>
    </xf>
    <xf numFmtId="0" fontId="6" fillId="0" borderId="5" xfId="0" applyFont="1" applyBorder="1"/>
    <xf numFmtId="168" fontId="6" fillId="0" borderId="5" xfId="0" applyNumberFormat="1" applyFont="1" applyBorder="1"/>
    <xf numFmtId="169" fontId="6" fillId="0" borderId="5" xfId="0" applyNumberFormat="1" applyFont="1" applyBorder="1"/>
    <xf numFmtId="169" fontId="6" fillId="0" borderId="0" xfId="1" applyNumberFormat="1" applyFont="1"/>
    <xf numFmtId="2" fontId="6" fillId="0" borderId="0" xfId="0" applyNumberFormat="1" applyFont="1"/>
    <xf numFmtId="2" fontId="4" fillId="0" borderId="0" xfId="0" applyNumberFormat="1" applyFont="1"/>
    <xf numFmtId="171" fontId="4" fillId="0" borderId="0" xfId="0" applyNumberFormat="1" applyFont="1"/>
    <xf numFmtId="167" fontId="4" fillId="0" borderId="0" xfId="0" applyNumberFormat="1" applyFont="1"/>
    <xf numFmtId="164" fontId="4" fillId="0" borderId="0" xfId="0" applyNumberFormat="1" applyFont="1"/>
    <xf numFmtId="166" fontId="4" fillId="0" borderId="0" xfId="0" applyNumberFormat="1" applyFont="1"/>
    <xf numFmtId="165" fontId="2" fillId="0" borderId="0" xfId="0" applyNumberFormat="1" applyFont="1"/>
    <xf numFmtId="0" fontId="7" fillId="0" borderId="0" xfId="0" applyFont="1" applyAlignment="1">
      <alignment horizontal="center"/>
    </xf>
    <xf numFmtId="3" fontId="6" fillId="0" borderId="5" xfId="0" applyNumberFormat="1" applyFont="1" applyBorder="1"/>
    <xf numFmtId="164" fontId="6" fillId="0" borderId="0" xfId="3" applyFont="1" applyBorder="1"/>
    <xf numFmtId="0" fontId="7" fillId="0" borderId="5" xfId="0" applyFont="1" applyBorder="1" applyAlignment="1">
      <alignment horizontal="center"/>
    </xf>
    <xf numFmtId="0" fontId="6" fillId="0" borderId="5" xfId="0" applyFont="1" applyBorder="1" applyAlignment="1">
      <alignment horizontal="right"/>
    </xf>
    <xf numFmtId="0" fontId="6" fillId="0" borderId="0" xfId="0" applyFont="1" applyAlignment="1">
      <alignment vertical="top" wrapText="1"/>
    </xf>
    <xf numFmtId="0" fontId="6" fillId="0" borderId="0" xfId="0" applyFont="1" applyAlignment="1">
      <alignment horizontal="left" vertical="center" wrapText="1"/>
    </xf>
    <xf numFmtId="0" fontId="8" fillId="0" borderId="0" xfId="0" applyFont="1" applyAlignment="1">
      <alignment horizontal="justify" vertical="center"/>
    </xf>
    <xf numFmtId="0" fontId="9" fillId="0" borderId="0" xfId="0" applyFont="1" applyAlignment="1">
      <alignment horizontal="center"/>
    </xf>
    <xf numFmtId="0" fontId="6" fillId="0" borderId="0" xfId="0" applyFont="1" applyAlignment="1">
      <alignment horizontal="left" indent="1"/>
    </xf>
    <xf numFmtId="0" fontId="2" fillId="2" borderId="0" xfId="0" applyFont="1" applyFill="1" applyAlignment="1">
      <alignment vertical="center"/>
    </xf>
    <xf numFmtId="0" fontId="4" fillId="2" borderId="0" xfId="0" applyFont="1" applyFill="1" applyAlignment="1">
      <alignment vertical="center"/>
    </xf>
    <xf numFmtId="0" fontId="10" fillId="0" borderId="0" xfId="0" applyFont="1" applyAlignment="1">
      <alignment vertical="center" wrapText="1"/>
    </xf>
    <xf numFmtId="172" fontId="4" fillId="0" borderId="0" xfId="1" applyNumberFormat="1" applyFont="1" applyBorder="1"/>
    <xf numFmtId="0" fontId="6" fillId="5" borderId="0" xfId="0" applyFont="1" applyFill="1"/>
    <xf numFmtId="0" fontId="7" fillId="0" borderId="14" xfId="0" applyFont="1" applyBorder="1" applyAlignment="1">
      <alignment vertical="top" wrapText="1"/>
    </xf>
    <xf numFmtId="0" fontId="6" fillId="0" borderId="15" xfId="0" applyFont="1" applyBorder="1" applyAlignment="1">
      <alignment vertical="top" wrapText="1"/>
    </xf>
    <xf numFmtId="0" fontId="7" fillId="5" borderId="0" xfId="0" applyFont="1" applyFill="1"/>
    <xf numFmtId="0" fontId="6" fillId="0" borderId="15" xfId="0" applyFont="1" applyBorder="1" applyAlignment="1">
      <alignment horizontal="left" vertical="top" wrapText="1"/>
    </xf>
    <xf numFmtId="170" fontId="2" fillId="0" borderId="0" xfId="2" applyNumberFormat="1" applyFont="1" applyFill="1" applyAlignment="1">
      <alignment horizontal="center"/>
    </xf>
    <xf numFmtId="0" fontId="6" fillId="0" borderId="0" xfId="0" applyFont="1" applyAlignment="1">
      <alignment vertical="center" wrapText="1"/>
    </xf>
    <xf numFmtId="0" fontId="6" fillId="0" borderId="0" xfId="0" applyFont="1" applyAlignment="1">
      <alignment vertical="center"/>
    </xf>
    <xf numFmtId="0" fontId="11" fillId="0" borderId="0" xfId="0" applyFont="1"/>
    <xf numFmtId="0" fontId="12" fillId="0" borderId="0" xfId="0" applyFont="1"/>
    <xf numFmtId="170" fontId="4" fillId="0" borderId="0" xfId="2" applyNumberFormat="1" applyFont="1" applyFill="1" applyAlignment="1">
      <alignment horizontal="center"/>
    </xf>
    <xf numFmtId="0" fontId="12" fillId="0" borderId="0" xfId="0" applyFont="1" applyAlignment="1">
      <alignment horizontal="right"/>
    </xf>
    <xf numFmtId="0" fontId="12" fillId="0" borderId="0" xfId="1" applyNumberFormat="1" applyFont="1" applyFill="1"/>
    <xf numFmtId="0" fontId="6" fillId="0" borderId="0" xfId="0" applyFont="1" applyAlignment="1">
      <alignment horizontal="right"/>
    </xf>
    <xf numFmtId="0" fontId="6" fillId="0" borderId="0" xfId="1" applyNumberFormat="1" applyFont="1"/>
    <xf numFmtId="0" fontId="6" fillId="0" borderId="2" xfId="0" applyFont="1" applyBorder="1"/>
    <xf numFmtId="0" fontId="6" fillId="0" borderId="3" xfId="1" applyNumberFormat="1" applyFont="1" applyBorder="1"/>
    <xf numFmtId="0" fontId="13" fillId="0" borderId="0" xfId="0" applyFont="1" applyAlignment="1">
      <alignment vertical="center"/>
    </xf>
    <xf numFmtId="0" fontId="6" fillId="0" borderId="2" xfId="1" applyNumberFormat="1" applyFont="1" applyBorder="1"/>
    <xf numFmtId="0" fontId="6" fillId="0" borderId="4" xfId="0" applyFont="1" applyBorder="1"/>
    <xf numFmtId="0" fontId="6" fillId="0" borderId="4" xfId="1" applyNumberFormat="1" applyFont="1" applyBorder="1"/>
    <xf numFmtId="0" fontId="7" fillId="4" borderId="0" xfId="0" applyFont="1" applyFill="1"/>
    <xf numFmtId="0" fontId="2" fillId="0" borderId="0" xfId="2" applyNumberFormat="1" applyFont="1" applyFill="1" applyAlignment="1">
      <alignment horizontal="center"/>
    </xf>
    <xf numFmtId="0" fontId="7" fillId="0" borderId="5" xfId="0" applyFont="1" applyBorder="1" applyAlignment="1">
      <alignment horizontal="center"/>
    </xf>
    <xf numFmtId="165" fontId="6" fillId="0" borderId="0" xfId="1" applyNumberFormat="1" applyFont="1"/>
    <xf numFmtId="169" fontId="12" fillId="0" borderId="0" xfId="0" applyNumberFormat="1" applyFont="1"/>
    <xf numFmtId="0" fontId="14" fillId="0" borderId="0" xfId="0" applyFont="1"/>
    <xf numFmtId="0" fontId="9" fillId="0" borderId="0" xfId="0" applyFont="1"/>
    <xf numFmtId="169" fontId="12" fillId="0" borderId="0" xfId="1" applyNumberFormat="1" applyFont="1" applyFill="1"/>
    <xf numFmtId="0" fontId="14" fillId="0" borderId="0" xfId="0" applyFont="1" applyAlignment="1">
      <alignment horizontal="right"/>
    </xf>
    <xf numFmtId="170" fontId="13" fillId="0" borderId="0" xfId="2" applyNumberFormat="1" applyFont="1" applyAlignment="1">
      <alignment horizontal="right"/>
    </xf>
    <xf numFmtId="169" fontId="6" fillId="0" borderId="2" xfId="0" applyNumberFormat="1" applyFont="1" applyBorder="1"/>
    <xf numFmtId="0" fontId="11" fillId="0" borderId="0" xfId="0" applyFont="1" applyAlignment="1">
      <alignment horizontal="center"/>
    </xf>
    <xf numFmtId="0" fontId="11" fillId="3" borderId="5" xfId="0" applyFont="1" applyFill="1" applyBorder="1"/>
    <xf numFmtId="164" fontId="11" fillId="3" borderId="5" xfId="7" applyNumberFormat="1" applyFont="1" applyFill="1" applyBorder="1" applyAlignment="1">
      <alignment horizontal="center"/>
    </xf>
    <xf numFmtId="172" fontId="11" fillId="3" borderId="5" xfId="7" applyNumberFormat="1" applyFont="1" applyFill="1" applyBorder="1" applyAlignment="1">
      <alignment horizontal="center"/>
    </xf>
    <xf numFmtId="0" fontId="11" fillId="3" borderId="5" xfId="0" applyFont="1" applyFill="1" applyBorder="1" applyAlignment="1">
      <alignment horizontal="center"/>
    </xf>
    <xf numFmtId="0" fontId="17" fillId="6" borderId="5" xfId="0" applyFont="1" applyFill="1" applyBorder="1" applyAlignment="1">
      <alignment horizontal="center" vertical="center" wrapText="1"/>
    </xf>
    <xf numFmtId="0" fontId="11" fillId="0" borderId="5" xfId="0" applyFont="1" applyBorder="1"/>
    <xf numFmtId="3" fontId="11" fillId="0" borderId="0" xfId="0" applyNumberFormat="1" applyFont="1" applyBorder="1" applyAlignment="1">
      <alignment horizontal="center"/>
    </xf>
    <xf numFmtId="0" fontId="11" fillId="0" borderId="0" xfId="0" applyFont="1" applyBorder="1"/>
    <xf numFmtId="43" fontId="11" fillId="0" borderId="0" xfId="0" applyNumberFormat="1" applyFont="1"/>
    <xf numFmtId="175" fontId="11" fillId="0" borderId="0" xfId="0" applyNumberFormat="1" applyFont="1"/>
    <xf numFmtId="171" fontId="11" fillId="0" borderId="0" xfId="0" applyNumberFormat="1" applyFont="1"/>
    <xf numFmtId="176" fontId="11" fillId="0" borderId="0" xfId="0" applyNumberFormat="1" applyFont="1"/>
    <xf numFmtId="3" fontId="11" fillId="0" borderId="0" xfId="0" applyNumberFormat="1" applyFont="1"/>
    <xf numFmtId="3" fontId="11" fillId="0" borderId="0" xfId="0" applyNumberFormat="1" applyFont="1" applyFill="1" applyBorder="1" applyAlignment="1">
      <alignment horizontal="center"/>
    </xf>
    <xf numFmtId="0" fontId="17" fillId="0" borderId="0" xfId="0" applyFont="1" applyFill="1" applyBorder="1" applyAlignment="1">
      <alignment horizontal="center" vertical="center" wrapText="1"/>
    </xf>
    <xf numFmtId="3" fontId="11" fillId="0" borderId="5" xfId="0" applyNumberFormat="1" applyFont="1" applyFill="1" applyBorder="1" applyAlignment="1">
      <alignment horizontal="center"/>
    </xf>
    <xf numFmtId="9" fontId="11" fillId="0" borderId="5" xfId="4" applyFont="1" applyFill="1" applyBorder="1" applyAlignment="1">
      <alignment horizontal="center"/>
    </xf>
    <xf numFmtId="0" fontId="11" fillId="0" borderId="5" xfId="0" applyFont="1" applyFill="1" applyBorder="1"/>
    <xf numFmtId="174" fontId="16" fillId="0" borderId="5" xfId="4" applyNumberFormat="1" applyFont="1" applyFill="1" applyBorder="1" applyAlignment="1">
      <alignment horizontal="center"/>
    </xf>
    <xf numFmtId="9" fontId="11" fillId="0" borderId="0" xfId="0" applyNumberFormat="1" applyFont="1" applyAlignment="1">
      <alignment horizontal="center"/>
    </xf>
    <xf numFmtId="174" fontId="11" fillId="0" borderId="0" xfId="0" applyNumberFormat="1" applyFont="1" applyAlignment="1">
      <alignment horizontal="center"/>
    </xf>
    <xf numFmtId="165" fontId="11" fillId="0" borderId="0" xfId="1" applyNumberFormat="1" applyFont="1" applyAlignment="1">
      <alignment horizontal="center"/>
    </xf>
    <xf numFmtId="170" fontId="11" fillId="0" borderId="0" xfId="2" applyNumberFormat="1" applyFont="1" applyAlignment="1">
      <alignment horizontal="center"/>
    </xf>
    <xf numFmtId="165" fontId="16" fillId="0" borderId="0" xfId="1" applyNumberFormat="1" applyFont="1" applyAlignment="1">
      <alignment horizontal="center"/>
    </xf>
    <xf numFmtId="0" fontId="12" fillId="0" borderId="5" xfId="0" applyFont="1" applyFill="1" applyBorder="1" applyAlignment="1">
      <alignment horizontal="right"/>
    </xf>
    <xf numFmtId="0" fontId="6" fillId="0" borderId="0" xfId="0" applyFont="1" applyAlignment="1">
      <alignment wrapText="1"/>
    </xf>
    <xf numFmtId="0" fontId="4" fillId="0" borderId="0" xfId="0" applyFont="1" applyAlignment="1">
      <alignment wrapText="1"/>
    </xf>
    <xf numFmtId="0" fontId="18" fillId="6" borderId="0" xfId="0" applyFont="1" applyFill="1" applyAlignment="1">
      <alignment horizontal="center" wrapText="1"/>
    </xf>
    <xf numFmtId="170" fontId="6" fillId="0" borderId="0" xfId="2" applyNumberFormat="1" applyFont="1"/>
    <xf numFmtId="170" fontId="7" fillId="4" borderId="0" xfId="2" applyNumberFormat="1" applyFont="1" applyFill="1"/>
    <xf numFmtId="170" fontId="6" fillId="4" borderId="0" xfId="2" applyNumberFormat="1" applyFont="1" applyFill="1"/>
    <xf numFmtId="0" fontId="4" fillId="0" borderId="0" xfId="2" applyNumberFormat="1" applyFont="1" applyFill="1" applyAlignment="1">
      <alignment horizontal="center"/>
    </xf>
    <xf numFmtId="0" fontId="4" fillId="0" borderId="0" xfId="0" applyFont="1" applyAlignment="1">
      <alignment horizontal="center" wrapText="1"/>
    </xf>
    <xf numFmtId="170" fontId="4" fillId="0" borderId="5" xfId="2" applyNumberFormat="1" applyFont="1" applyBorder="1"/>
    <xf numFmtId="44" fontId="4" fillId="0" borderId="5" xfId="2" applyNumberFormat="1" applyFont="1" applyBorder="1"/>
    <xf numFmtId="177" fontId="4" fillId="0" borderId="5" xfId="2" applyNumberFormat="1" applyFont="1" applyBorder="1"/>
    <xf numFmtId="170" fontId="4" fillId="0" borderId="0" xfId="0" applyNumberFormat="1" applyFont="1"/>
    <xf numFmtId="0" fontId="7" fillId="0" borderId="0" xfId="0" applyFont="1" applyAlignment="1">
      <alignment horizontal="center" vertical="center" wrapText="1"/>
    </xf>
    <xf numFmtId="0" fontId="6" fillId="0" borderId="1" xfId="0" applyFont="1" applyBorder="1" applyAlignment="1">
      <alignment horizontal="center"/>
    </xf>
    <xf numFmtId="0" fontId="2" fillId="2" borderId="0" xfId="0" applyFont="1" applyFill="1" applyAlignment="1">
      <alignment horizontal="left" vertical="center"/>
    </xf>
    <xf numFmtId="0" fontId="6" fillId="0" borderId="0" xfId="0" applyFont="1" applyAlignment="1">
      <alignment horizontal="left"/>
    </xf>
    <xf numFmtId="0" fontId="6" fillId="0" borderId="5" xfId="0" applyFont="1" applyBorder="1" applyAlignment="1">
      <alignment horizontal="left"/>
    </xf>
    <xf numFmtId="0" fontId="6" fillId="0" borderId="0" xfId="0" applyFont="1" applyAlignment="1">
      <alignment horizontal="left" wrapText="1"/>
    </xf>
    <xf numFmtId="0" fontId="7" fillId="2" borderId="0" xfId="0" applyFont="1" applyFill="1" applyAlignment="1">
      <alignment horizontal="left" vertical="center" wrapText="1"/>
    </xf>
    <xf numFmtId="0" fontId="6" fillId="0" borderId="1" xfId="0" applyFont="1" applyBorder="1" applyAlignment="1">
      <alignment horizontal="left"/>
    </xf>
    <xf numFmtId="0" fontId="6" fillId="0" borderId="1" xfId="0" applyFont="1" applyBorder="1" applyAlignment="1">
      <alignment horizontal="center" wrapText="1"/>
    </xf>
    <xf numFmtId="0" fontId="4" fillId="0" borderId="0" xfId="0" applyFont="1" applyFill="1" applyAlignment="1">
      <alignment horizontal="left" vertical="center" wrapText="1"/>
    </xf>
    <xf numFmtId="0" fontId="4" fillId="2" borderId="0" xfId="0" applyFont="1" applyFill="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center"/>
    </xf>
    <xf numFmtId="0" fontId="6" fillId="2" borderId="0" xfId="0" applyFont="1" applyFill="1" applyAlignment="1">
      <alignment horizontal="left" vertical="center" wrapText="1"/>
    </xf>
    <xf numFmtId="0" fontId="6" fillId="0" borderId="0" xfId="0" applyFont="1" applyAlignment="1">
      <alignment horizontal="left" vertical="top" wrapText="1"/>
    </xf>
    <xf numFmtId="0" fontId="7" fillId="0" borderId="5" xfId="0" applyFont="1" applyBorder="1" applyAlignment="1">
      <alignment horizontal="center"/>
    </xf>
    <xf numFmtId="0" fontId="4" fillId="2" borderId="0" xfId="0" applyFont="1" applyFill="1" applyAlignment="1">
      <alignment horizontal="left" vertical="center"/>
    </xf>
    <xf numFmtId="0" fontId="4" fillId="0" borderId="0" xfId="0" applyFont="1" applyAlignment="1">
      <alignment horizontal="left"/>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4" fillId="0" borderId="0" xfId="0" applyFont="1" applyAlignment="1">
      <alignment horizontal="left" vertical="top" wrapText="1"/>
    </xf>
  </cellXfs>
  <cellStyles count="8">
    <cellStyle name="Migliaia" xfId="1" builtinId="3"/>
    <cellStyle name="Migliaia 2" xfId="3"/>
    <cellStyle name="Migliaia 2 2" xfId="6"/>
    <cellStyle name="Migliaia 3" xfId="7"/>
    <cellStyle name="Normale" xfId="0" builtinId="0"/>
    <cellStyle name="Normale 2" xfId="5"/>
    <cellStyle name="Percentuale" xfId="4" builtinId="5"/>
    <cellStyle name="Valuta"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28222</xdr:colOff>
      <xdr:row>4</xdr:row>
      <xdr:rowOff>197554</xdr:rowOff>
    </xdr:from>
    <xdr:to>
      <xdr:col>6</xdr:col>
      <xdr:colOff>35278</xdr:colOff>
      <xdr:row>14</xdr:row>
      <xdr:rowOff>183445</xdr:rowOff>
    </xdr:to>
    <xdr:sp macro="" textlink="">
      <xdr:nvSpPr>
        <xdr:cNvPr id="3" name="CasellaDiTesto 2">
          <a:extLst>
            <a:ext uri="{FF2B5EF4-FFF2-40B4-BE49-F238E27FC236}">
              <a16:creationId xmlns:a16="http://schemas.microsoft.com/office/drawing/2014/main" id="{00000000-0008-0000-0500-000003000000}"/>
            </a:ext>
          </a:extLst>
        </xdr:cNvPr>
        <xdr:cNvSpPr txBox="1"/>
      </xdr:nvSpPr>
      <xdr:spPr>
        <a:xfrm>
          <a:off x="28222" y="1375832"/>
          <a:ext cx="8001000" cy="19614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28222</xdr:colOff>
      <xdr:row>4</xdr:row>
      <xdr:rowOff>197554</xdr:rowOff>
    </xdr:from>
    <xdr:to>
      <xdr:col>6</xdr:col>
      <xdr:colOff>35278</xdr:colOff>
      <xdr:row>14</xdr:row>
      <xdr:rowOff>141111</xdr:rowOff>
    </xdr:to>
    <xdr:sp macro="" textlink="">
      <xdr:nvSpPr>
        <xdr:cNvPr id="2" name="CasellaDiTesto 1">
          <a:extLst>
            <a:ext uri="{FF2B5EF4-FFF2-40B4-BE49-F238E27FC236}">
              <a16:creationId xmlns:a16="http://schemas.microsoft.com/office/drawing/2014/main" id="{00000000-0008-0000-0600-000002000000}"/>
            </a:ext>
          </a:extLst>
        </xdr:cNvPr>
        <xdr:cNvSpPr txBox="1"/>
      </xdr:nvSpPr>
      <xdr:spPr>
        <a:xfrm>
          <a:off x="28222" y="1378654"/>
          <a:ext cx="7995356" cy="19120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28222</xdr:colOff>
      <xdr:row>4</xdr:row>
      <xdr:rowOff>197554</xdr:rowOff>
    </xdr:from>
    <xdr:to>
      <xdr:col>6</xdr:col>
      <xdr:colOff>35278</xdr:colOff>
      <xdr:row>14</xdr:row>
      <xdr:rowOff>141111</xdr:rowOff>
    </xdr:to>
    <xdr:sp macro="" textlink="">
      <xdr:nvSpPr>
        <xdr:cNvPr id="2" name="CasellaDiTesto 1">
          <a:extLst>
            <a:ext uri="{FF2B5EF4-FFF2-40B4-BE49-F238E27FC236}">
              <a16:creationId xmlns:a16="http://schemas.microsoft.com/office/drawing/2014/main" id="{00000000-0008-0000-0700-000002000000}"/>
            </a:ext>
          </a:extLst>
        </xdr:cNvPr>
        <xdr:cNvSpPr txBox="1"/>
      </xdr:nvSpPr>
      <xdr:spPr>
        <a:xfrm>
          <a:off x="28222" y="1378654"/>
          <a:ext cx="7995356" cy="19120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28222</xdr:colOff>
      <xdr:row>4</xdr:row>
      <xdr:rowOff>197554</xdr:rowOff>
    </xdr:from>
    <xdr:to>
      <xdr:col>6</xdr:col>
      <xdr:colOff>35278</xdr:colOff>
      <xdr:row>14</xdr:row>
      <xdr:rowOff>141111</xdr:rowOff>
    </xdr:to>
    <xdr:sp macro="" textlink="">
      <xdr:nvSpPr>
        <xdr:cNvPr id="2" name="CasellaDiTesto 1">
          <a:extLst>
            <a:ext uri="{FF2B5EF4-FFF2-40B4-BE49-F238E27FC236}">
              <a16:creationId xmlns:a16="http://schemas.microsoft.com/office/drawing/2014/main" id="{00000000-0008-0000-0800-000002000000}"/>
            </a:ext>
          </a:extLst>
        </xdr:cNvPr>
        <xdr:cNvSpPr txBox="1"/>
      </xdr:nvSpPr>
      <xdr:spPr>
        <a:xfrm>
          <a:off x="28222" y="1378654"/>
          <a:ext cx="7995356" cy="19120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showGridLines="0" tabSelected="1" zoomScale="190" zoomScaleNormal="190" workbookViewId="0">
      <selection activeCell="H2" sqref="H2"/>
    </sheetView>
  </sheetViews>
  <sheetFormatPr defaultColWidth="8.73046875" defaultRowHeight="13.5" x14ac:dyDescent="0.35"/>
  <cols>
    <col min="1" max="1" width="20" style="26" customWidth="1"/>
    <col min="2" max="2" width="41.73046875" style="26" customWidth="1"/>
    <col min="3" max="16384" width="8.73046875" style="26"/>
  </cols>
  <sheetData>
    <row r="1" spans="1:3" ht="51.75" customHeight="1" x14ac:dyDescent="0.35">
      <c r="A1" s="127" t="s">
        <v>146</v>
      </c>
      <c r="B1" s="127"/>
      <c r="C1" s="127"/>
    </row>
    <row r="2" spans="1:3" x14ac:dyDescent="0.35">
      <c r="A2" s="57"/>
      <c r="B2" s="57"/>
      <c r="C2" s="57"/>
    </row>
    <row r="3" spans="1:3" ht="13.9" thickBot="1" x14ac:dyDescent="0.4">
      <c r="A3" s="57"/>
      <c r="B3" s="57"/>
      <c r="C3" s="57"/>
    </row>
    <row r="4" spans="1:3" ht="14.25" thickBot="1" x14ac:dyDescent="0.4">
      <c r="A4" s="58" t="s">
        <v>48</v>
      </c>
      <c r="B4" s="59"/>
      <c r="C4" s="57"/>
    </row>
    <row r="5" spans="1:3" ht="14.25" thickBot="1" x14ac:dyDescent="0.45">
      <c r="A5" s="60"/>
      <c r="B5" s="57"/>
      <c r="C5" s="57"/>
    </row>
    <row r="6" spans="1:3" ht="14.25" thickBot="1" x14ac:dyDescent="0.4">
      <c r="A6" s="58" t="s">
        <v>49</v>
      </c>
      <c r="B6" s="59"/>
      <c r="C6" s="57"/>
    </row>
    <row r="7" spans="1:3" ht="14.25" thickBot="1" x14ac:dyDescent="0.45">
      <c r="A7" s="60"/>
      <c r="B7" s="57"/>
      <c r="C7" s="57"/>
    </row>
    <row r="8" spans="1:3" ht="14.25" thickBot="1" x14ac:dyDescent="0.4">
      <c r="A8" s="58" t="s">
        <v>50</v>
      </c>
      <c r="B8" s="61"/>
      <c r="C8" s="57"/>
    </row>
    <row r="9" spans="1:3" ht="14.25" thickBot="1" x14ac:dyDescent="0.45">
      <c r="A9" s="60"/>
      <c r="B9" s="57"/>
      <c r="C9" s="57"/>
    </row>
    <row r="10" spans="1:3" ht="14.25" thickBot="1" x14ac:dyDescent="0.4">
      <c r="A10" s="58" t="s">
        <v>51</v>
      </c>
      <c r="B10" s="61"/>
      <c r="C10" s="57"/>
    </row>
    <row r="11" spans="1:3" x14ac:dyDescent="0.35">
      <c r="A11" s="57"/>
      <c r="B11" s="57"/>
      <c r="C11" s="57"/>
    </row>
    <row r="12" spans="1:3" x14ac:dyDescent="0.35">
      <c r="A12" s="57"/>
      <c r="B12" s="57"/>
      <c r="C12" s="57"/>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3"/>
  <sheetViews>
    <sheetView topLeftCell="A10" zoomScale="130" zoomScaleNormal="130" workbookViewId="0">
      <selection sqref="A1:G1"/>
    </sheetView>
  </sheetViews>
  <sheetFormatPr defaultColWidth="11.3984375" defaultRowHeight="13.5" x14ac:dyDescent="0.35"/>
  <cols>
    <col min="1" max="2" width="20.265625" style="26" customWidth="1"/>
    <col min="3" max="3" width="11.265625" style="26" customWidth="1"/>
    <col min="4" max="4" width="22.1328125" style="26" customWidth="1"/>
    <col min="5" max="5" width="19.3984375" style="26" customWidth="1"/>
    <col min="6" max="6" width="13" style="26" customWidth="1"/>
    <col min="7" max="8" width="16.73046875" style="26" customWidth="1"/>
    <col min="9" max="10" width="20.265625" style="26" customWidth="1"/>
    <col min="11" max="11" width="109" style="26" customWidth="1"/>
    <col min="12" max="16384" width="11.3984375" style="26"/>
  </cols>
  <sheetData>
    <row r="1" spans="1:7" ht="25.9" customHeight="1" x14ac:dyDescent="0.35">
      <c r="A1" s="129" t="s">
        <v>57</v>
      </c>
      <c r="B1" s="129"/>
      <c r="C1" s="129"/>
      <c r="D1" s="129"/>
      <c r="E1" s="129"/>
      <c r="F1" s="129"/>
      <c r="G1" s="129"/>
    </row>
    <row r="2" spans="1:7" ht="13.9" x14ac:dyDescent="0.4">
      <c r="A2" s="27"/>
    </row>
    <row r="3" spans="1:7" ht="14.65" customHeight="1" x14ac:dyDescent="0.35">
      <c r="A3" s="130" t="s">
        <v>69</v>
      </c>
      <c r="B3" s="130"/>
      <c r="C3" s="130"/>
      <c r="D3" s="130"/>
      <c r="E3" s="130"/>
      <c r="F3" s="130"/>
      <c r="G3" s="130"/>
    </row>
    <row r="4" spans="1:7" ht="14.65" customHeight="1" x14ac:dyDescent="0.35">
      <c r="A4" s="130" t="s">
        <v>70</v>
      </c>
      <c r="B4" s="130"/>
      <c r="C4" s="130"/>
      <c r="D4" s="130"/>
      <c r="E4" s="35">
        <v>870</v>
      </c>
      <c r="F4" s="36"/>
    </row>
    <row r="5" spans="1:7" ht="14.65" customHeight="1" x14ac:dyDescent="0.35">
      <c r="A5" s="130" t="s">
        <v>0</v>
      </c>
      <c r="B5" s="130"/>
      <c r="C5" s="130"/>
      <c r="F5" s="36"/>
    </row>
    <row r="6" spans="1:7" ht="14.65" customHeight="1" x14ac:dyDescent="0.4">
      <c r="A6" s="27"/>
      <c r="B6" s="29"/>
      <c r="C6" s="131" t="s">
        <v>41</v>
      </c>
      <c r="D6" s="131"/>
      <c r="E6" s="34">
        <v>300</v>
      </c>
      <c r="F6" s="36"/>
    </row>
    <row r="7" spans="1:7" ht="14.65" customHeight="1" x14ac:dyDescent="0.4">
      <c r="A7" s="27"/>
      <c r="B7" s="29"/>
      <c r="C7" s="131" t="s">
        <v>42</v>
      </c>
      <c r="D7" s="131"/>
      <c r="E7" s="34">
        <f>5*25</f>
        <v>125</v>
      </c>
      <c r="F7" s="36" t="s">
        <v>71</v>
      </c>
    </row>
    <row r="8" spans="1:7" ht="14.65" customHeight="1" x14ac:dyDescent="0.4">
      <c r="A8" s="27"/>
      <c r="B8" s="29"/>
      <c r="C8" s="131" t="s">
        <v>84</v>
      </c>
      <c r="D8" s="131"/>
      <c r="E8" s="34">
        <v>80</v>
      </c>
      <c r="F8" s="36"/>
    </row>
    <row r="9" spans="1:7" ht="14.65" customHeight="1" x14ac:dyDescent="0.4">
      <c r="A9" s="27"/>
      <c r="B9" s="29"/>
      <c r="C9" s="131" t="s">
        <v>85</v>
      </c>
      <c r="D9" s="131"/>
      <c r="E9" s="34">
        <v>200</v>
      </c>
      <c r="F9" s="36"/>
    </row>
    <row r="10" spans="1:7" ht="13.9" x14ac:dyDescent="0.4">
      <c r="A10" s="27"/>
    </row>
    <row r="11" spans="1:7" x14ac:dyDescent="0.35">
      <c r="A11" s="26" t="s">
        <v>73</v>
      </c>
    </row>
    <row r="12" spans="1:7" x14ac:dyDescent="0.35">
      <c r="A12" s="130" t="s">
        <v>43</v>
      </c>
      <c r="B12" s="130"/>
      <c r="C12" s="130"/>
      <c r="D12" s="26">
        <v>150</v>
      </c>
      <c r="E12" s="26" t="s">
        <v>1</v>
      </c>
    </row>
    <row r="13" spans="1:7" x14ac:dyDescent="0.35">
      <c r="A13" s="130" t="s">
        <v>44</v>
      </c>
      <c r="B13" s="130"/>
      <c r="C13" s="130"/>
      <c r="D13" s="35">
        <v>720</v>
      </c>
    </row>
    <row r="14" spans="1:7" x14ac:dyDescent="0.35">
      <c r="A14" s="130"/>
      <c r="B14" s="130"/>
      <c r="C14" s="130"/>
      <c r="D14" s="30"/>
    </row>
    <row r="15" spans="1:7" ht="32.25" customHeight="1" x14ac:dyDescent="0.35">
      <c r="A15" s="132" t="s">
        <v>72</v>
      </c>
      <c r="B15" s="132"/>
      <c r="C15" s="132"/>
      <c r="D15" s="81">
        <v>500</v>
      </c>
      <c r="E15" s="26" t="s">
        <v>74</v>
      </c>
    </row>
    <row r="16" spans="1:7" x14ac:dyDescent="0.35">
      <c r="A16" s="26" t="s">
        <v>75</v>
      </c>
    </row>
    <row r="18" spans="1:7" ht="16.899999999999999" customHeight="1" x14ac:dyDescent="0.35">
      <c r="A18" s="50" t="s">
        <v>40</v>
      </c>
    </row>
    <row r="19" spans="1:7" ht="37.5" customHeight="1" x14ac:dyDescent="0.35">
      <c r="A19" s="133" t="s">
        <v>83</v>
      </c>
      <c r="B19" s="133"/>
      <c r="C19" s="133"/>
      <c r="D19" s="133"/>
      <c r="E19" s="133"/>
      <c r="F19" s="133"/>
      <c r="G19" s="133"/>
    </row>
    <row r="20" spans="1:7" ht="13.9" x14ac:dyDescent="0.4">
      <c r="A20" s="27"/>
    </row>
    <row r="21" spans="1:7" s="66" customFormat="1" ht="15" x14ac:dyDescent="0.4">
      <c r="A21" s="65" t="s">
        <v>76</v>
      </c>
      <c r="B21" s="84">
        <f>+C21*C22</f>
        <v>32250</v>
      </c>
      <c r="C21" s="82">
        <f>+D13-E6-E7-E8</f>
        <v>215</v>
      </c>
      <c r="D21" s="66" t="s">
        <v>77</v>
      </c>
    </row>
    <row r="22" spans="1:7" s="66" customFormat="1" x14ac:dyDescent="0.35">
      <c r="C22" s="66">
        <f>+D12</f>
        <v>150</v>
      </c>
      <c r="D22" s="66" t="s">
        <v>78</v>
      </c>
    </row>
    <row r="23" spans="1:7" s="66" customFormat="1" x14ac:dyDescent="0.35">
      <c r="B23" s="68"/>
      <c r="C23" s="69"/>
    </row>
    <row r="24" spans="1:7" s="66" customFormat="1" x14ac:dyDescent="0.35">
      <c r="A24" s="66" t="s">
        <v>79</v>
      </c>
      <c r="B24" s="86">
        <f>+C24*C26</f>
        <v>-18250</v>
      </c>
      <c r="C24" s="85">
        <f>+E4-E6-E7-E8</f>
        <v>365</v>
      </c>
      <c r="D24" s="66" t="s">
        <v>77</v>
      </c>
    </row>
    <row r="25" spans="1:7" s="66" customFormat="1" x14ac:dyDescent="0.35">
      <c r="B25" s="68"/>
      <c r="C25" s="69">
        <f>+D15-(C22*5)</f>
        <v>-250</v>
      </c>
      <c r="D25" s="66" t="s">
        <v>80</v>
      </c>
    </row>
    <row r="26" spans="1:7" s="66" customFormat="1" x14ac:dyDescent="0.35">
      <c r="B26" s="68"/>
      <c r="C26" s="69">
        <f>+C25/5</f>
        <v>-50</v>
      </c>
      <c r="D26" s="66" t="s">
        <v>81</v>
      </c>
    </row>
    <row r="27" spans="1:7" s="66" customFormat="1" ht="13.9" x14ac:dyDescent="0.4">
      <c r="A27" s="66" t="s">
        <v>82</v>
      </c>
      <c r="B27" s="87">
        <f>+B21+B24</f>
        <v>14000</v>
      </c>
      <c r="C27" s="69"/>
    </row>
    <row r="28" spans="1:7" s="66" customFormat="1" x14ac:dyDescent="0.35">
      <c r="B28" s="68"/>
      <c r="C28" s="69"/>
    </row>
    <row r="29" spans="1:7" x14ac:dyDescent="0.35">
      <c r="B29" s="70"/>
      <c r="C29" s="71"/>
    </row>
    <row r="30" spans="1:7" x14ac:dyDescent="0.35">
      <c r="A30" s="66"/>
      <c r="B30" s="68"/>
      <c r="C30" s="69"/>
      <c r="D30" s="66"/>
      <c r="E30" s="66"/>
    </row>
    <row r="33" spans="1:8" ht="47.65" customHeight="1" x14ac:dyDescent="0.35">
      <c r="A33" s="133" t="s">
        <v>66</v>
      </c>
      <c r="B33" s="133"/>
      <c r="C33" s="133"/>
      <c r="D33" s="133"/>
      <c r="E33" s="133"/>
      <c r="F33" s="133"/>
      <c r="G33" s="133"/>
    </row>
    <row r="35" spans="1:8" ht="15" x14ac:dyDescent="0.4">
      <c r="A35" s="1"/>
    </row>
    <row r="36" spans="1:8" ht="13.9" x14ac:dyDescent="0.4">
      <c r="D36" s="27"/>
    </row>
    <row r="37" spans="1:8" x14ac:dyDescent="0.35">
      <c r="A37" s="128" t="s">
        <v>2</v>
      </c>
      <c r="B37" s="128"/>
      <c r="D37" s="134" t="s">
        <v>3</v>
      </c>
      <c r="E37" s="134"/>
      <c r="G37" s="128" t="s">
        <v>4</v>
      </c>
      <c r="H37" s="128"/>
    </row>
    <row r="38" spans="1:8" ht="13.9" x14ac:dyDescent="0.35">
      <c r="A38" s="72"/>
      <c r="B38" s="73">
        <f>+E6*D12</f>
        <v>45000</v>
      </c>
      <c r="C38" s="74"/>
      <c r="D38" s="75">
        <f>+B38</f>
        <v>45000</v>
      </c>
      <c r="E38" s="26">
        <f>SUM(D38:D41)</f>
        <v>105750</v>
      </c>
      <c r="G38" s="72">
        <f>+E38</f>
        <v>105750</v>
      </c>
      <c r="H38" s="26">
        <f>+G38</f>
        <v>105750</v>
      </c>
    </row>
    <row r="39" spans="1:8" ht="13.9" x14ac:dyDescent="0.35">
      <c r="A39" s="76"/>
      <c r="C39" s="74"/>
      <c r="D39" s="76">
        <f>+B42</f>
        <v>18750</v>
      </c>
      <c r="G39" s="76"/>
    </row>
    <row r="40" spans="1:8" ht="13.9" x14ac:dyDescent="0.35">
      <c r="C40" s="74"/>
      <c r="D40" s="77">
        <f>+B46</f>
        <v>12000</v>
      </c>
    </row>
    <row r="41" spans="1:8" ht="13.9" x14ac:dyDescent="0.35">
      <c r="A41" s="135" t="s">
        <v>45</v>
      </c>
      <c r="B41" s="135"/>
      <c r="C41" s="74"/>
      <c r="D41" s="76">
        <f>+B47</f>
        <v>30000</v>
      </c>
      <c r="G41" s="128" t="s">
        <v>5</v>
      </c>
      <c r="H41" s="128"/>
    </row>
    <row r="42" spans="1:8" ht="13.9" x14ac:dyDescent="0.35">
      <c r="A42" s="72"/>
      <c r="B42" s="73">
        <f>+E7*D12</f>
        <v>18750</v>
      </c>
      <c r="C42" s="74"/>
      <c r="D42" s="76"/>
      <c r="G42" s="72">
        <f>+H38</f>
        <v>105750</v>
      </c>
    </row>
    <row r="43" spans="1:8" ht="13.9" x14ac:dyDescent="0.35">
      <c r="A43" s="76"/>
      <c r="C43" s="74"/>
      <c r="G43" s="76"/>
    </row>
    <row r="44" spans="1:8" ht="13.9" x14ac:dyDescent="0.35">
      <c r="C44" s="74"/>
    </row>
    <row r="45" spans="1:8" ht="13.9" x14ac:dyDescent="0.35">
      <c r="A45" s="128" t="s">
        <v>6</v>
      </c>
      <c r="B45" s="128"/>
      <c r="C45" s="74"/>
      <c r="G45" s="128" t="s">
        <v>39</v>
      </c>
      <c r="H45" s="128"/>
    </row>
    <row r="46" spans="1:8" ht="13.9" x14ac:dyDescent="0.35">
      <c r="A46" s="72"/>
      <c r="B46" s="73">
        <f>+E8*D12</f>
        <v>12000</v>
      </c>
      <c r="C46" s="74"/>
      <c r="F46" s="70"/>
      <c r="G46" s="72"/>
      <c r="H46" s="35">
        <f>+D12*D13</f>
        <v>108000</v>
      </c>
    </row>
    <row r="47" spans="1:8" ht="13.9" x14ac:dyDescent="0.35">
      <c r="A47" s="76"/>
      <c r="B47" s="71">
        <f>+E9*D12</f>
        <v>30000</v>
      </c>
      <c r="C47" s="74"/>
      <c r="F47" s="70"/>
      <c r="G47" s="77"/>
    </row>
    <row r="48" spans="1:8" x14ac:dyDescent="0.35">
      <c r="F48" s="70"/>
      <c r="G48" s="76"/>
    </row>
    <row r="49" spans="6:8" x14ac:dyDescent="0.35">
      <c r="F49" s="70"/>
    </row>
    <row r="50" spans="6:8" x14ac:dyDescent="0.35">
      <c r="G50" s="128" t="s">
        <v>65</v>
      </c>
      <c r="H50" s="128"/>
    </row>
    <row r="51" spans="6:8" x14ac:dyDescent="0.35">
      <c r="F51" s="70"/>
      <c r="G51" s="88">
        <f>+H46</f>
        <v>108000</v>
      </c>
      <c r="H51" s="71"/>
    </row>
    <row r="52" spans="6:8" x14ac:dyDescent="0.35">
      <c r="F52" s="70"/>
      <c r="G52" s="77"/>
    </row>
    <row r="53" spans="6:8" x14ac:dyDescent="0.35">
      <c r="F53" s="70"/>
      <c r="G53" s="76"/>
    </row>
  </sheetData>
  <mergeCells count="22">
    <mergeCell ref="A45:B45"/>
    <mergeCell ref="G45:H45"/>
    <mergeCell ref="D37:E37"/>
    <mergeCell ref="G37:H37"/>
    <mergeCell ref="A41:B41"/>
    <mergeCell ref="G41:H41"/>
    <mergeCell ref="G50:H50"/>
    <mergeCell ref="A1:G1"/>
    <mergeCell ref="A5:C5"/>
    <mergeCell ref="A12:C12"/>
    <mergeCell ref="A13:C13"/>
    <mergeCell ref="C9:D9"/>
    <mergeCell ref="A3:G3"/>
    <mergeCell ref="A4:D4"/>
    <mergeCell ref="C6:D6"/>
    <mergeCell ref="C7:D7"/>
    <mergeCell ref="C8:D8"/>
    <mergeCell ref="A14:C14"/>
    <mergeCell ref="A15:C15"/>
    <mergeCell ref="A19:G19"/>
    <mergeCell ref="A33:G33"/>
    <mergeCell ref="A37:B37"/>
  </mergeCells>
  <pageMargins left="0.39370078740157483" right="0.39370078740157483" top="0.39370078740157483" bottom="0.39370078740157483" header="0.31496062992125984" footer="0.31496062992125984"/>
  <pageSetup paperSize="9" scale="84" fitToHeight="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showGridLines="0" topLeftCell="A7" zoomScale="142" zoomScaleNormal="142" workbookViewId="0">
      <selection activeCell="A19" sqref="A19:D19"/>
    </sheetView>
  </sheetViews>
  <sheetFormatPr defaultColWidth="9.1328125" defaultRowHeight="15" x14ac:dyDescent="0.4"/>
  <cols>
    <col min="1" max="1" width="52.265625" style="65" bestFit="1" customWidth="1"/>
    <col min="2" max="4" width="22.3984375" style="89" customWidth="1"/>
    <col min="5" max="17" width="9.265625" style="65" customWidth="1"/>
    <col min="18" max="16384" width="9.1328125" style="65"/>
  </cols>
  <sheetData>
    <row r="1" spans="1:9" x14ac:dyDescent="0.4">
      <c r="A1" s="129" t="s">
        <v>55</v>
      </c>
      <c r="B1" s="129"/>
      <c r="C1" s="129"/>
      <c r="D1" s="129"/>
      <c r="E1" s="129"/>
      <c r="F1" s="129"/>
      <c r="G1" s="129"/>
    </row>
    <row r="2" spans="1:9" ht="51.6" customHeight="1" x14ac:dyDescent="0.4">
      <c r="A2" s="136" t="s">
        <v>95</v>
      </c>
      <c r="B2" s="136"/>
      <c r="C2" s="136"/>
      <c r="D2" s="136"/>
    </row>
    <row r="3" spans="1:9" ht="7.15" customHeight="1" x14ac:dyDescent="0.4"/>
    <row r="4" spans="1:9" x14ac:dyDescent="0.4">
      <c r="A4" s="95"/>
      <c r="B4" s="94" t="s">
        <v>96</v>
      </c>
      <c r="C4" s="94" t="s">
        <v>97</v>
      </c>
      <c r="D4" s="94" t="s">
        <v>30</v>
      </c>
      <c r="E4" s="104"/>
    </row>
    <row r="5" spans="1:9" x14ac:dyDescent="0.4">
      <c r="A5" s="95" t="s">
        <v>86</v>
      </c>
      <c r="B5" s="105">
        <v>1800000</v>
      </c>
      <c r="C5" s="105"/>
      <c r="D5" s="105"/>
      <c r="E5" s="103"/>
      <c r="G5" s="102"/>
      <c r="I5" s="102"/>
    </row>
    <row r="6" spans="1:9" x14ac:dyDescent="0.4">
      <c r="A6" s="95" t="s">
        <v>94</v>
      </c>
      <c r="B6" s="106">
        <v>0.3</v>
      </c>
      <c r="C6" s="106"/>
      <c r="D6" s="105"/>
      <c r="E6" s="101"/>
    </row>
    <row r="7" spans="1:9" x14ac:dyDescent="0.4">
      <c r="A7" s="95" t="s">
        <v>93</v>
      </c>
      <c r="B7" s="105"/>
      <c r="C7" s="105">
        <v>120</v>
      </c>
      <c r="D7" s="105"/>
      <c r="E7" s="100"/>
    </row>
    <row r="8" spans="1:9" x14ac:dyDescent="0.4">
      <c r="A8" s="95" t="s">
        <v>92</v>
      </c>
      <c r="B8" s="105"/>
      <c r="C8" s="105">
        <v>50</v>
      </c>
      <c r="D8" s="105"/>
      <c r="E8" s="99"/>
    </row>
    <row r="9" spans="1:9" x14ac:dyDescent="0.4">
      <c r="A9" s="95" t="s">
        <v>91</v>
      </c>
      <c r="B9" s="106"/>
      <c r="C9" s="105"/>
      <c r="D9" s="106">
        <v>0.4</v>
      </c>
      <c r="G9" s="98"/>
    </row>
    <row r="10" spans="1:9" x14ac:dyDescent="0.4">
      <c r="A10" s="95" t="s">
        <v>90</v>
      </c>
      <c r="B10" s="105"/>
      <c r="C10" s="105"/>
      <c r="D10" s="105">
        <v>1550000</v>
      </c>
    </row>
    <row r="12" spans="1:9" ht="62.45" customHeight="1" x14ac:dyDescent="0.4">
      <c r="A12" s="137" t="s">
        <v>99</v>
      </c>
      <c r="B12" s="137"/>
      <c r="C12" s="137"/>
      <c r="D12" s="137"/>
    </row>
    <row r="13" spans="1:9" ht="9.4" customHeight="1" x14ac:dyDescent="0.4"/>
    <row r="14" spans="1:9" x14ac:dyDescent="0.4">
      <c r="A14" s="107"/>
      <c r="B14" s="94" t="str">
        <f>+B4</f>
        <v>Prodotto Smart</v>
      </c>
      <c r="C14" s="94" t="str">
        <f>+C4</f>
        <v>Prodotto Fast</v>
      </c>
      <c r="D14" s="94" t="s">
        <v>30</v>
      </c>
      <c r="E14" s="1"/>
    </row>
    <row r="15" spans="1:9" x14ac:dyDescent="0.4">
      <c r="A15" s="107" t="s">
        <v>86</v>
      </c>
      <c r="B15" s="105">
        <f>+B5</f>
        <v>1800000</v>
      </c>
      <c r="C15" s="105">
        <f>+D15-B15</f>
        <v>4200000</v>
      </c>
      <c r="D15" s="105">
        <f>+B5/B6</f>
        <v>6000000</v>
      </c>
    </row>
    <row r="16" spans="1:9" x14ac:dyDescent="0.4">
      <c r="A16" s="107" t="s">
        <v>89</v>
      </c>
      <c r="B16" s="105">
        <f>+D16-C16</f>
        <v>650000</v>
      </c>
      <c r="C16" s="105">
        <f>+C15/C7*C8</f>
        <v>1750000</v>
      </c>
      <c r="D16" s="105">
        <f>+D9*D15</f>
        <v>2400000</v>
      </c>
    </row>
    <row r="17" spans="1:5" x14ac:dyDescent="0.4">
      <c r="A17" s="107" t="s">
        <v>88</v>
      </c>
      <c r="B17" s="108">
        <f>+B16/B15</f>
        <v>0.3611111111111111</v>
      </c>
      <c r="C17" s="108">
        <f t="shared" ref="C17:D17" si="0">+C16/C15</f>
        <v>0.41666666666666669</v>
      </c>
      <c r="D17" s="108">
        <f t="shared" si="0"/>
        <v>0.4</v>
      </c>
    </row>
    <row r="18" spans="1:5" x14ac:dyDescent="0.4">
      <c r="A18" s="97"/>
      <c r="B18" s="96"/>
      <c r="C18" s="96"/>
      <c r="D18" s="96"/>
    </row>
    <row r="19" spans="1:5" ht="49.9" customHeight="1" x14ac:dyDescent="0.4">
      <c r="A19" s="137" t="s">
        <v>98</v>
      </c>
      <c r="B19" s="137"/>
      <c r="C19" s="137"/>
      <c r="D19" s="137"/>
    </row>
    <row r="20" spans="1:5" x14ac:dyDescent="0.4">
      <c r="A20" s="97"/>
      <c r="B20" s="96"/>
      <c r="C20" s="96"/>
      <c r="D20" s="96"/>
    </row>
    <row r="21" spans="1:5" x14ac:dyDescent="0.4">
      <c r="A21" s="95"/>
      <c r="B21" s="94" t="str">
        <f>+B14</f>
        <v>Prodotto Smart</v>
      </c>
      <c r="C21" s="94" t="str">
        <f>+C14</f>
        <v>Prodotto Fast</v>
      </c>
      <c r="D21" s="94" t="s">
        <v>30</v>
      </c>
      <c r="E21" s="1"/>
    </row>
    <row r="22" spans="1:5" x14ac:dyDescent="0.4">
      <c r="A22" s="90"/>
      <c r="B22" s="93"/>
      <c r="C22" s="93"/>
      <c r="D22" s="92"/>
    </row>
    <row r="23" spans="1:5" x14ac:dyDescent="0.4">
      <c r="A23" s="90" t="s">
        <v>87</v>
      </c>
      <c r="B23" s="91">
        <f>+D23*B6</f>
        <v>1162500</v>
      </c>
      <c r="C23" s="91">
        <f>+D23*(1-B6)</f>
        <v>2712500</v>
      </c>
      <c r="D23" s="91">
        <f>+D10/D17</f>
        <v>3875000</v>
      </c>
    </row>
    <row r="26" spans="1:5" ht="51" customHeight="1" x14ac:dyDescent="0.4">
      <c r="A26" s="137" t="s">
        <v>103</v>
      </c>
      <c r="B26" s="137"/>
      <c r="C26" s="137"/>
      <c r="D26" s="137"/>
    </row>
    <row r="28" spans="1:5" x14ac:dyDescent="0.4">
      <c r="A28" s="65" t="s">
        <v>100</v>
      </c>
      <c r="B28" s="109">
        <v>0.6</v>
      </c>
      <c r="C28" s="109">
        <v>0.4</v>
      </c>
    </row>
    <row r="29" spans="1:5" x14ac:dyDescent="0.4">
      <c r="A29" s="65" t="s">
        <v>101</v>
      </c>
      <c r="B29" s="110">
        <f>+B17</f>
        <v>0.3611111111111111</v>
      </c>
      <c r="C29" s="110">
        <f>+C17</f>
        <v>0.41666666666666669</v>
      </c>
      <c r="D29" s="110">
        <f>+B29*B28+C29*C28</f>
        <v>0.3833333333333333</v>
      </c>
    </row>
    <row r="30" spans="1:5" x14ac:dyDescent="0.4">
      <c r="A30" s="65" t="s">
        <v>87</v>
      </c>
      <c r="C30" s="112">
        <f>+D30*C29</f>
        <v>1684782.6086956523</v>
      </c>
      <c r="D30" s="112">
        <f>+D10/D29</f>
        <v>4043478.2608695654</v>
      </c>
    </row>
    <row r="31" spans="1:5" x14ac:dyDescent="0.4">
      <c r="A31" s="65" t="s">
        <v>102</v>
      </c>
      <c r="C31" s="113">
        <f>+C30/C7</f>
        <v>14039.85507246377</v>
      </c>
      <c r="D31" s="111"/>
    </row>
  </sheetData>
  <mergeCells count="5">
    <mergeCell ref="A2:D2"/>
    <mergeCell ref="A12:D12"/>
    <mergeCell ref="A19:D19"/>
    <mergeCell ref="A26:D26"/>
    <mergeCell ref="A1:G1"/>
  </mergeCells>
  <pageMargins left="0.19685039370078741" right="0.19685039370078741" top="0.19685039370078741" bottom="0.19685039370078741" header="0.31496062992125984" footer="0.31496062992125984"/>
  <pageSetup paperSize="9" scale="8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topLeftCell="A10" zoomScale="130" zoomScaleNormal="130" workbookViewId="0">
      <selection activeCell="D49" sqref="D49"/>
    </sheetView>
  </sheetViews>
  <sheetFormatPr defaultColWidth="8.86328125" defaultRowHeight="15" x14ac:dyDescent="0.4"/>
  <cols>
    <col min="1" max="1" width="52.73046875" style="3" customWidth="1"/>
    <col min="2" max="3" width="19.59765625" style="3" customWidth="1"/>
    <col min="4" max="4" width="18" style="3" customWidth="1"/>
    <col min="5" max="8" width="12.73046875" style="3" customWidth="1"/>
    <col min="9" max="16384" width="8.86328125" style="3"/>
  </cols>
  <sheetData>
    <row r="1" spans="1:13" ht="25.9" customHeight="1" x14ac:dyDescent="0.4">
      <c r="A1" s="129" t="s">
        <v>58</v>
      </c>
      <c r="B1" s="129"/>
      <c r="C1" s="129"/>
      <c r="D1" s="129"/>
      <c r="E1" s="54"/>
      <c r="F1" s="54"/>
      <c r="G1" s="54"/>
      <c r="H1" s="2"/>
      <c r="I1" s="2"/>
      <c r="J1" s="2"/>
      <c r="K1" s="2"/>
      <c r="L1" s="2"/>
      <c r="M1" s="2"/>
    </row>
    <row r="2" spans="1:13" x14ac:dyDescent="0.4">
      <c r="B2" s="4"/>
      <c r="C2" s="4"/>
      <c r="D2" s="4"/>
      <c r="E2" s="4"/>
      <c r="F2" s="4"/>
      <c r="G2" s="4"/>
    </row>
    <row r="3" spans="1:13" ht="93.6" customHeight="1" x14ac:dyDescent="0.4">
      <c r="A3" s="138" t="s">
        <v>104</v>
      </c>
      <c r="B3" s="139"/>
      <c r="C3" s="139"/>
      <c r="D3" s="139"/>
      <c r="E3" s="139"/>
      <c r="F3" s="139"/>
      <c r="G3" s="139"/>
      <c r="H3" s="26"/>
    </row>
    <row r="4" spans="1:13" x14ac:dyDescent="0.4">
      <c r="A4" s="130" t="s">
        <v>105</v>
      </c>
      <c r="B4" s="130"/>
      <c r="C4" s="130"/>
      <c r="D4" s="130"/>
      <c r="E4" s="130"/>
      <c r="F4" s="130"/>
      <c r="G4" s="130"/>
      <c r="H4" s="26"/>
    </row>
    <row r="5" spans="1:13" x14ac:dyDescent="0.4">
      <c r="A5" s="26"/>
      <c r="B5" s="43"/>
      <c r="C5" s="43"/>
      <c r="D5" s="43"/>
      <c r="E5" s="43"/>
      <c r="F5" s="43"/>
      <c r="G5" s="43"/>
      <c r="H5" s="26"/>
    </row>
    <row r="6" spans="1:13" x14ac:dyDescent="0.4">
      <c r="A6" s="32"/>
      <c r="B6" s="80" t="s">
        <v>106</v>
      </c>
      <c r="C6" s="80" t="s">
        <v>107</v>
      </c>
      <c r="D6" s="26"/>
      <c r="E6" s="27"/>
      <c r="F6" s="140"/>
      <c r="G6" s="140"/>
      <c r="H6" s="26"/>
    </row>
    <row r="7" spans="1:13" x14ac:dyDescent="0.4">
      <c r="A7" s="32" t="s">
        <v>33</v>
      </c>
      <c r="B7" s="44">
        <v>30000</v>
      </c>
      <c r="C7" s="44">
        <v>15000</v>
      </c>
      <c r="D7" s="26"/>
      <c r="E7" s="26"/>
      <c r="F7" s="45"/>
      <c r="G7" s="26"/>
      <c r="H7" s="26"/>
    </row>
    <row r="8" spans="1:13" x14ac:dyDescent="0.4">
      <c r="A8" s="32" t="s">
        <v>34</v>
      </c>
      <c r="B8" s="33">
        <v>220</v>
      </c>
      <c r="C8" s="33">
        <v>350</v>
      </c>
      <c r="D8" s="26"/>
      <c r="E8" s="26"/>
      <c r="F8" s="45"/>
      <c r="G8" s="26"/>
      <c r="H8" s="26"/>
    </row>
    <row r="9" spans="1:13" x14ac:dyDescent="0.4">
      <c r="A9" s="26"/>
      <c r="B9" s="26"/>
      <c r="C9" s="26"/>
      <c r="D9" s="26"/>
      <c r="E9" s="26"/>
      <c r="F9" s="26"/>
      <c r="G9" s="26"/>
      <c r="H9" s="26"/>
    </row>
    <row r="10" spans="1:13" x14ac:dyDescent="0.4">
      <c r="A10" s="26" t="s">
        <v>108</v>
      </c>
      <c r="B10" s="26"/>
      <c r="C10" s="26"/>
      <c r="D10" s="26"/>
      <c r="E10" s="26"/>
      <c r="F10" s="26"/>
      <c r="G10" s="26"/>
      <c r="H10" s="26"/>
    </row>
    <row r="11" spans="1:13" x14ac:dyDescent="0.4">
      <c r="A11" s="26"/>
      <c r="B11" s="26"/>
      <c r="C11" s="26"/>
      <c r="D11" s="26"/>
      <c r="E11" s="26"/>
      <c r="F11" s="26"/>
      <c r="G11" s="26"/>
      <c r="H11" s="26"/>
    </row>
    <row r="12" spans="1:13" x14ac:dyDescent="0.4">
      <c r="A12" s="32"/>
      <c r="B12" s="143" t="str">
        <f>+B6</f>
        <v>Laser</v>
      </c>
      <c r="C12" s="143"/>
      <c r="D12" s="143"/>
      <c r="E12" s="143" t="str">
        <f>+C6</f>
        <v>Integrate</v>
      </c>
      <c r="F12" s="143"/>
      <c r="G12" s="143"/>
      <c r="H12" s="26"/>
    </row>
    <row r="13" spans="1:13" x14ac:dyDescent="0.4">
      <c r="A13" s="32"/>
      <c r="B13" s="46" t="s">
        <v>35</v>
      </c>
      <c r="C13" s="46" t="s">
        <v>36</v>
      </c>
      <c r="D13" s="46" t="s">
        <v>37</v>
      </c>
      <c r="E13" s="46" t="s">
        <v>35</v>
      </c>
      <c r="F13" s="46" t="s">
        <v>36</v>
      </c>
      <c r="G13" s="46" t="s">
        <v>37</v>
      </c>
      <c r="H13" s="26"/>
    </row>
    <row r="14" spans="1:13" x14ac:dyDescent="0.4">
      <c r="A14" s="32" t="s">
        <v>38</v>
      </c>
      <c r="B14" s="47">
        <v>2.5</v>
      </c>
      <c r="C14" s="47">
        <v>32</v>
      </c>
      <c r="D14" s="47">
        <f>C14*B14</f>
        <v>80</v>
      </c>
      <c r="E14" s="47">
        <v>3.5</v>
      </c>
      <c r="F14" s="47">
        <v>40</v>
      </c>
      <c r="G14" s="47">
        <f>F14*E14</f>
        <v>140</v>
      </c>
      <c r="H14" s="26"/>
    </row>
    <row r="15" spans="1:13" x14ac:dyDescent="0.4">
      <c r="A15" s="32" t="s">
        <v>13</v>
      </c>
      <c r="B15" s="47">
        <v>2</v>
      </c>
      <c r="C15" s="47">
        <v>30</v>
      </c>
      <c r="D15" s="47">
        <f>C15*B15</f>
        <v>60</v>
      </c>
      <c r="E15" s="47">
        <v>3</v>
      </c>
      <c r="F15" s="47">
        <v>30</v>
      </c>
      <c r="G15" s="47">
        <f>F15*E15</f>
        <v>90</v>
      </c>
      <c r="H15" s="26"/>
    </row>
    <row r="16" spans="1:13" x14ac:dyDescent="0.4">
      <c r="A16" s="32" t="s">
        <v>109</v>
      </c>
      <c r="B16" s="114">
        <v>2</v>
      </c>
      <c r="C16" s="114">
        <v>18</v>
      </c>
      <c r="D16" s="114">
        <f>C16*B16</f>
        <v>36</v>
      </c>
      <c r="E16" s="114">
        <v>3</v>
      </c>
      <c r="F16" s="114">
        <v>18</v>
      </c>
      <c r="G16" s="114">
        <f>F16*E16</f>
        <v>54</v>
      </c>
      <c r="H16" s="26"/>
    </row>
    <row r="17" spans="1:8" x14ac:dyDescent="0.4">
      <c r="A17" s="26"/>
      <c r="B17" s="26"/>
      <c r="C17" s="26"/>
      <c r="D17" s="26"/>
      <c r="E17" s="26"/>
      <c r="F17" s="26"/>
      <c r="G17" s="26"/>
      <c r="H17" s="26"/>
    </row>
    <row r="18" spans="1:8" s="25" customFormat="1" ht="34.9" customHeight="1" x14ac:dyDescent="0.4">
      <c r="A18" s="142" t="s">
        <v>115</v>
      </c>
      <c r="B18" s="142"/>
      <c r="C18" s="142"/>
      <c r="D18" s="142"/>
      <c r="E18" s="142"/>
      <c r="F18" s="142"/>
      <c r="G18" s="142"/>
      <c r="H18" s="48"/>
    </row>
    <row r="19" spans="1:8" s="25" customFormat="1" ht="120.6" customHeight="1" x14ac:dyDescent="0.4">
      <c r="A19" s="138" t="s">
        <v>110</v>
      </c>
      <c r="B19" s="138"/>
      <c r="C19" s="138"/>
      <c r="D19" s="138"/>
      <c r="E19" s="138"/>
      <c r="F19" s="138"/>
      <c r="G19" s="138"/>
      <c r="H19" s="63"/>
    </row>
    <row r="20" spans="1:8" s="25" customFormat="1" ht="9.4" customHeight="1" x14ac:dyDescent="0.4">
      <c r="A20" s="49"/>
      <c r="B20" s="49"/>
      <c r="C20" s="49"/>
      <c r="D20" s="49"/>
      <c r="E20" s="49"/>
      <c r="F20" s="49"/>
      <c r="G20" s="49"/>
      <c r="H20" s="63"/>
    </row>
    <row r="21" spans="1:8" s="25" customFormat="1" ht="16.5" customHeight="1" x14ac:dyDescent="0.4">
      <c r="A21" s="50" t="s">
        <v>40</v>
      </c>
      <c r="B21" s="28"/>
      <c r="C21" s="28"/>
      <c r="D21" s="28"/>
      <c r="E21" s="28"/>
      <c r="F21" s="28"/>
      <c r="G21" s="28"/>
      <c r="H21" s="28"/>
    </row>
    <row r="22" spans="1:8" ht="85.15" customHeight="1" x14ac:dyDescent="0.4">
      <c r="A22" s="141" t="s">
        <v>67</v>
      </c>
      <c r="B22" s="141"/>
      <c r="C22" s="141"/>
      <c r="D22" s="141"/>
      <c r="E22" s="141"/>
      <c r="F22" s="141"/>
      <c r="G22" s="141"/>
      <c r="H22" s="64"/>
    </row>
    <row r="23" spans="1:8" x14ac:dyDescent="0.4">
      <c r="A23" s="65"/>
      <c r="B23" s="51"/>
      <c r="C23" s="31"/>
      <c r="D23" s="51"/>
      <c r="E23" s="31"/>
      <c r="F23" s="51"/>
      <c r="G23" s="26"/>
      <c r="H23" s="26"/>
    </row>
    <row r="24" spans="1:8" s="116" customFormat="1" x14ac:dyDescent="0.4">
      <c r="A24" s="115"/>
      <c r="B24" s="117" t="s">
        <v>111</v>
      </c>
      <c r="C24" s="117" t="s">
        <v>112</v>
      </c>
      <c r="D24" s="117" t="s">
        <v>30</v>
      </c>
      <c r="E24" s="115"/>
      <c r="F24" s="115"/>
      <c r="G24" s="115"/>
      <c r="H24" s="115"/>
    </row>
    <row r="25" spans="1:8" x14ac:dyDescent="0.4">
      <c r="A25" s="26" t="s">
        <v>86</v>
      </c>
      <c r="B25" s="118">
        <f>+B7*B8</f>
        <v>6600000</v>
      </c>
      <c r="C25" s="118">
        <f>+C7*C8</f>
        <v>5250000</v>
      </c>
      <c r="D25" s="118">
        <f>+B25+C25</f>
        <v>11850000</v>
      </c>
      <c r="E25" s="26"/>
      <c r="F25" s="26"/>
      <c r="G25" s="26"/>
      <c r="H25" s="26"/>
    </row>
    <row r="26" spans="1:8" x14ac:dyDescent="0.4">
      <c r="A26" s="26" t="s">
        <v>113</v>
      </c>
      <c r="B26" s="118">
        <f>+B25*0.02</f>
        <v>132000</v>
      </c>
      <c r="C26" s="118">
        <f>+C25*0.02</f>
        <v>105000</v>
      </c>
      <c r="D26" s="118">
        <f>+B26+C26</f>
        <v>237000</v>
      </c>
      <c r="E26" s="26"/>
      <c r="F26" s="26"/>
      <c r="G26" s="26"/>
      <c r="H26" s="26"/>
    </row>
    <row r="27" spans="1:8" x14ac:dyDescent="0.4">
      <c r="A27" s="26" t="s">
        <v>114</v>
      </c>
      <c r="B27" s="118">
        <f>+SUM(D14:D16)*B7</f>
        <v>5280000</v>
      </c>
      <c r="C27" s="118">
        <f>+SUM(G14:G16)*C7</f>
        <v>4260000</v>
      </c>
      <c r="D27" s="118">
        <f>+B27+C27</f>
        <v>9540000</v>
      </c>
      <c r="E27" s="26"/>
      <c r="F27" s="26"/>
      <c r="G27" s="26"/>
      <c r="H27" s="26"/>
    </row>
    <row r="28" spans="1:8" x14ac:dyDescent="0.4">
      <c r="A28" s="52"/>
      <c r="B28" s="118"/>
      <c r="C28" s="118"/>
      <c r="D28" s="118"/>
      <c r="E28" s="26"/>
      <c r="F28" s="26"/>
      <c r="G28" s="26"/>
      <c r="H28" s="26"/>
    </row>
    <row r="29" spans="1:8" x14ac:dyDescent="0.4">
      <c r="A29" s="52"/>
      <c r="B29" s="118"/>
      <c r="C29" s="118"/>
      <c r="D29" s="118"/>
      <c r="E29" s="26"/>
      <c r="F29" s="26"/>
      <c r="G29" s="26"/>
      <c r="H29" s="26"/>
    </row>
    <row r="30" spans="1:8" x14ac:dyDescent="0.4">
      <c r="A30" s="52"/>
      <c r="B30" s="118"/>
      <c r="C30" s="118"/>
      <c r="D30" s="118"/>
      <c r="E30" s="26"/>
      <c r="F30" s="26"/>
      <c r="G30" s="26"/>
      <c r="H30" s="26"/>
    </row>
    <row r="31" spans="1:8" x14ac:dyDescent="0.4">
      <c r="A31" s="78" t="s">
        <v>89</v>
      </c>
      <c r="B31" s="119">
        <f>+B25-B26-B27</f>
        <v>1188000</v>
      </c>
      <c r="C31" s="119">
        <f t="shared" ref="C31:D31" si="0">+C25-C26-C27</f>
        <v>885000</v>
      </c>
      <c r="D31" s="119">
        <f t="shared" si="0"/>
        <v>2073000</v>
      </c>
      <c r="E31" s="79"/>
      <c r="F31" s="26"/>
      <c r="G31" s="26"/>
      <c r="H31" s="26"/>
    </row>
    <row r="32" spans="1:8" x14ac:dyDescent="0.4">
      <c r="A32" s="26"/>
      <c r="B32" s="118"/>
      <c r="C32" s="118"/>
      <c r="D32" s="118"/>
      <c r="E32" s="26"/>
      <c r="F32" s="26"/>
      <c r="G32" s="26"/>
      <c r="H32" s="26"/>
    </row>
    <row r="33" spans="1:8" x14ac:dyDescent="0.4">
      <c r="A33" s="26" t="s">
        <v>116</v>
      </c>
      <c r="B33" s="118">
        <f>5*50000</f>
        <v>250000</v>
      </c>
      <c r="C33" s="118">
        <f>3*50000</f>
        <v>150000</v>
      </c>
      <c r="D33" s="118">
        <f t="shared" ref="D33:D35" si="1">+B33+C33</f>
        <v>400000</v>
      </c>
      <c r="E33" s="26"/>
      <c r="F33" s="26"/>
      <c r="G33" s="26"/>
      <c r="H33" s="26"/>
    </row>
    <row r="34" spans="1:8" x14ac:dyDescent="0.4">
      <c r="A34" s="26" t="s">
        <v>117</v>
      </c>
      <c r="B34" s="118">
        <v>100000</v>
      </c>
      <c r="C34" s="118">
        <v>130000</v>
      </c>
      <c r="D34" s="118">
        <f t="shared" si="1"/>
        <v>230000</v>
      </c>
      <c r="E34" s="26"/>
      <c r="F34" s="26"/>
      <c r="G34" s="26"/>
      <c r="H34" s="26"/>
    </row>
    <row r="35" spans="1:8" x14ac:dyDescent="0.4">
      <c r="A35" s="26" t="s">
        <v>118</v>
      </c>
      <c r="B35" s="118">
        <v>78000</v>
      </c>
      <c r="C35" s="118">
        <v>64000</v>
      </c>
      <c r="D35" s="118">
        <f t="shared" si="1"/>
        <v>142000</v>
      </c>
      <c r="E35" s="26"/>
      <c r="F35" s="83" t="s">
        <v>121</v>
      </c>
      <c r="G35" s="26"/>
      <c r="H35" s="26"/>
    </row>
    <row r="36" spans="1:8" x14ac:dyDescent="0.4">
      <c r="A36" s="52"/>
      <c r="B36" s="118"/>
      <c r="C36" s="118"/>
      <c r="D36" s="118"/>
      <c r="E36" s="26"/>
      <c r="F36" s="26"/>
      <c r="G36" s="26"/>
      <c r="H36" s="26"/>
    </row>
    <row r="37" spans="1:8" x14ac:dyDescent="0.4">
      <c r="A37" s="78" t="s">
        <v>122</v>
      </c>
      <c r="B37" s="119">
        <f>+B31-B33-B34-B35</f>
        <v>760000</v>
      </c>
      <c r="C37" s="119">
        <f t="shared" ref="C37:D37" si="2">+C31-C33-C34-C35</f>
        <v>541000</v>
      </c>
      <c r="D37" s="119">
        <f t="shared" si="2"/>
        <v>1301000</v>
      </c>
      <c r="E37" s="121"/>
      <c r="F37" s="26"/>
      <c r="G37" s="26"/>
      <c r="H37" s="26"/>
    </row>
    <row r="38" spans="1:8" x14ac:dyDescent="0.4">
      <c r="A38" s="26"/>
      <c r="B38" s="118"/>
      <c r="C38" s="118"/>
      <c r="D38" s="118"/>
      <c r="E38" s="26"/>
      <c r="F38" s="26"/>
      <c r="G38" s="26"/>
      <c r="H38" s="26"/>
    </row>
    <row r="39" spans="1:8" x14ac:dyDescent="0.4">
      <c r="A39" s="26" t="s">
        <v>119</v>
      </c>
      <c r="B39" s="118">
        <v>80000</v>
      </c>
      <c r="C39" s="118">
        <v>80000</v>
      </c>
      <c r="D39" s="118">
        <f t="shared" ref="D39" si="3">+B39+C39</f>
        <v>160000</v>
      </c>
      <c r="E39" s="26"/>
      <c r="F39" s="83" t="s">
        <v>120</v>
      </c>
      <c r="G39" s="26"/>
      <c r="H39" s="26"/>
    </row>
    <row r="40" spans="1:8" x14ac:dyDescent="0.4">
      <c r="A40" s="26" t="s">
        <v>123</v>
      </c>
      <c r="B40" s="118">
        <v>45000</v>
      </c>
      <c r="C40" s="118">
        <v>-30000</v>
      </c>
      <c r="D40" s="118">
        <f>+B40+C40</f>
        <v>15000</v>
      </c>
      <c r="E40" s="26"/>
      <c r="F40" s="26"/>
      <c r="G40" s="26"/>
      <c r="H40" s="26"/>
    </row>
    <row r="41" spans="1:8" x14ac:dyDescent="0.4">
      <c r="A41" s="52"/>
      <c r="B41" s="118"/>
      <c r="C41" s="118"/>
      <c r="D41" s="118"/>
      <c r="E41" s="26"/>
      <c r="F41" s="26"/>
      <c r="G41" s="26"/>
      <c r="H41" s="26"/>
    </row>
    <row r="42" spans="1:8" x14ac:dyDescent="0.4">
      <c r="A42" s="52"/>
      <c r="B42" s="118"/>
      <c r="C42" s="118"/>
      <c r="D42" s="118"/>
      <c r="E42" s="26"/>
      <c r="F42" s="26"/>
      <c r="G42" s="26"/>
      <c r="H42" s="26"/>
    </row>
    <row r="43" spans="1:8" x14ac:dyDescent="0.4">
      <c r="A43" s="78" t="s">
        <v>124</v>
      </c>
      <c r="B43" s="119">
        <f>+B37-B39-B40</f>
        <v>635000</v>
      </c>
      <c r="C43" s="119">
        <f t="shared" ref="C43:D43" si="4">+C37-C39-C40</f>
        <v>491000</v>
      </c>
      <c r="D43" s="119">
        <f t="shared" si="4"/>
        <v>1126000</v>
      </c>
      <c r="E43" s="121"/>
      <c r="F43" s="26"/>
      <c r="G43" s="26"/>
      <c r="H43" s="26"/>
    </row>
    <row r="44" spans="1:8" x14ac:dyDescent="0.4">
      <c r="A44" s="26"/>
      <c r="B44" s="118"/>
      <c r="C44" s="118"/>
      <c r="D44" s="118"/>
      <c r="E44" s="26"/>
      <c r="F44" s="26"/>
      <c r="G44" s="26"/>
      <c r="H44" s="26"/>
    </row>
    <row r="45" spans="1:8" x14ac:dyDescent="0.4">
      <c r="A45" s="26" t="s">
        <v>126</v>
      </c>
      <c r="B45" s="118"/>
      <c r="C45" s="118"/>
      <c r="D45" s="118">
        <v>55000</v>
      </c>
      <c r="E45" s="26"/>
      <c r="F45" s="26"/>
      <c r="G45" s="26"/>
      <c r="H45" s="26"/>
    </row>
    <row r="46" spans="1:8" x14ac:dyDescent="0.4">
      <c r="A46" s="26" t="s">
        <v>127</v>
      </c>
      <c r="B46" s="118"/>
      <c r="C46" s="118"/>
      <c r="D46" s="118">
        <v>80000</v>
      </c>
      <c r="E46" s="26"/>
      <c r="F46" s="26"/>
      <c r="G46" s="26"/>
      <c r="H46" s="26"/>
    </row>
    <row r="47" spans="1:8" x14ac:dyDescent="0.4">
      <c r="A47" s="26" t="s">
        <v>128</v>
      </c>
      <c r="B47" s="118"/>
      <c r="C47" s="118"/>
      <c r="D47" s="118">
        <v>350000</v>
      </c>
      <c r="E47" s="26"/>
      <c r="F47" s="26"/>
      <c r="G47" s="26"/>
      <c r="H47" s="26"/>
    </row>
    <row r="48" spans="1:8" x14ac:dyDescent="0.4">
      <c r="A48" s="52"/>
      <c r="B48" s="118"/>
      <c r="C48" s="118"/>
      <c r="D48" s="118"/>
      <c r="E48" s="26"/>
      <c r="F48" s="26"/>
      <c r="G48" s="26"/>
      <c r="H48" s="26"/>
    </row>
    <row r="49" spans="1:8" x14ac:dyDescent="0.4">
      <c r="A49" s="78" t="s">
        <v>125</v>
      </c>
      <c r="B49" s="120"/>
      <c r="C49" s="120"/>
      <c r="D49" s="119">
        <f>+D43-D45-D46-D47</f>
        <v>641000</v>
      </c>
      <c r="E49" s="121"/>
      <c r="F49" s="26"/>
      <c r="G49" s="26"/>
      <c r="H49" s="26"/>
    </row>
    <row r="50" spans="1:8" x14ac:dyDescent="0.4">
      <c r="A50" s="26"/>
      <c r="B50" s="118"/>
      <c r="C50" s="118"/>
      <c r="D50" s="118"/>
      <c r="E50" s="26"/>
      <c r="F50" s="26"/>
      <c r="G50" s="26"/>
      <c r="H50" s="26"/>
    </row>
  </sheetData>
  <mergeCells count="9">
    <mergeCell ref="A1:D1"/>
    <mergeCell ref="A3:G3"/>
    <mergeCell ref="F6:G6"/>
    <mergeCell ref="A22:G22"/>
    <mergeCell ref="A18:G18"/>
    <mergeCell ref="A19:G19"/>
    <mergeCell ref="A4:G4"/>
    <mergeCell ref="B12:D12"/>
    <mergeCell ref="E12:G1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showGridLines="0" topLeftCell="A25" zoomScale="120" zoomScaleNormal="120" workbookViewId="0">
      <selection activeCell="D57" sqref="D57"/>
    </sheetView>
  </sheetViews>
  <sheetFormatPr defaultColWidth="8.86328125" defaultRowHeight="15" x14ac:dyDescent="0.4"/>
  <cols>
    <col min="1" max="1" width="66.265625" style="3" bestFit="1" customWidth="1"/>
    <col min="2" max="2" width="14" style="3" customWidth="1"/>
    <col min="3" max="3" width="4.265625" style="3" customWidth="1"/>
    <col min="4" max="4" width="14" style="3" customWidth="1"/>
    <col min="5" max="5" width="4.265625" style="3" customWidth="1"/>
    <col min="6" max="6" width="14" style="3" customWidth="1"/>
    <col min="7" max="7" width="8.265625" style="3" customWidth="1"/>
    <col min="8" max="8" width="33.1328125" style="3" customWidth="1"/>
    <col min="9" max="16384" width="8.86328125" style="3"/>
  </cols>
  <sheetData>
    <row r="1" spans="1:13" ht="25.9" customHeight="1" x14ac:dyDescent="0.4">
      <c r="A1" s="129" t="s">
        <v>59</v>
      </c>
      <c r="B1" s="129"/>
      <c r="C1" s="129"/>
      <c r="D1" s="129"/>
      <c r="E1" s="54"/>
      <c r="F1" s="54"/>
      <c r="G1" s="54"/>
      <c r="H1" s="54"/>
      <c r="I1" s="2"/>
      <c r="J1" s="2"/>
      <c r="K1" s="2"/>
      <c r="L1" s="2"/>
      <c r="M1" s="2"/>
    </row>
    <row r="2" spans="1:13" x14ac:dyDescent="0.4">
      <c r="B2" s="4"/>
      <c r="C2" s="4"/>
      <c r="D2" s="4"/>
      <c r="E2" s="4"/>
      <c r="F2" s="4"/>
      <c r="G2" s="4"/>
    </row>
    <row r="3" spans="1:13" ht="15.6" customHeight="1" x14ac:dyDescent="0.4">
      <c r="A3" s="145" t="s">
        <v>129</v>
      </c>
      <c r="B3" s="145"/>
      <c r="C3" s="145"/>
      <c r="D3" s="145"/>
      <c r="E3" s="145"/>
      <c r="F3" s="145"/>
      <c r="G3" s="145"/>
    </row>
    <row r="4" spans="1:13" x14ac:dyDescent="0.4">
      <c r="B4" s="4"/>
      <c r="C4" s="4"/>
      <c r="D4" s="4"/>
      <c r="E4" s="4"/>
      <c r="F4" s="4"/>
      <c r="G4" s="4"/>
    </row>
    <row r="5" spans="1:13" x14ac:dyDescent="0.4">
      <c r="A5" s="5"/>
      <c r="B5" s="146" t="s">
        <v>7</v>
      </c>
      <c r="C5" s="147"/>
      <c r="D5" s="146" t="s">
        <v>8</v>
      </c>
      <c r="E5" s="147"/>
      <c r="F5" s="148" t="s">
        <v>9</v>
      </c>
      <c r="G5" s="147"/>
    </row>
    <row r="6" spans="1:13" x14ac:dyDescent="0.4">
      <c r="A6" s="6" t="s">
        <v>10</v>
      </c>
      <c r="B6" s="7">
        <v>120</v>
      </c>
      <c r="C6" s="8" t="s">
        <v>11</v>
      </c>
      <c r="D6" s="7">
        <v>0.5</v>
      </c>
      <c r="E6" s="8" t="s">
        <v>12</v>
      </c>
      <c r="F6" s="9">
        <f>+B6*D6</f>
        <v>60</v>
      </c>
      <c r="G6" s="8" t="s">
        <v>9</v>
      </c>
      <c r="H6" s="37"/>
      <c r="J6" s="37"/>
      <c r="L6" s="37"/>
    </row>
    <row r="7" spans="1:13" x14ac:dyDescent="0.4">
      <c r="A7" s="10" t="s">
        <v>13</v>
      </c>
      <c r="B7" s="11">
        <v>0.5</v>
      </c>
      <c r="C7" s="12" t="s">
        <v>14</v>
      </c>
      <c r="D7" s="11">
        <v>36</v>
      </c>
      <c r="E7" s="12" t="s">
        <v>15</v>
      </c>
      <c r="F7" s="13">
        <f>+D7*B7</f>
        <v>18</v>
      </c>
      <c r="G7" s="12" t="s">
        <v>9</v>
      </c>
      <c r="H7" s="38"/>
      <c r="I7" s="37"/>
      <c r="J7" s="37"/>
      <c r="L7" s="37"/>
    </row>
    <row r="9" spans="1:13" x14ac:dyDescent="0.4">
      <c r="A9" s="5" t="s">
        <v>62</v>
      </c>
      <c r="B9" s="14">
        <v>9600</v>
      </c>
      <c r="D9" s="16"/>
    </row>
    <row r="10" spans="1:13" x14ac:dyDescent="0.4">
      <c r="A10" s="5" t="s">
        <v>63</v>
      </c>
      <c r="B10" s="14">
        <v>42000</v>
      </c>
      <c r="D10" s="16"/>
    </row>
    <row r="11" spans="1:13" x14ac:dyDescent="0.4">
      <c r="A11" s="5" t="s">
        <v>64</v>
      </c>
      <c r="B11" s="15">
        <f>+B10/B9</f>
        <v>4.375</v>
      </c>
      <c r="D11" s="16"/>
    </row>
    <row r="12" spans="1:13" x14ac:dyDescent="0.4">
      <c r="A12" s="5" t="s">
        <v>61</v>
      </c>
      <c r="B12" s="15">
        <v>18</v>
      </c>
      <c r="D12" s="40"/>
    </row>
    <row r="14" spans="1:13" x14ac:dyDescent="0.4">
      <c r="A14" s="145" t="s">
        <v>18</v>
      </c>
      <c r="B14" s="145"/>
      <c r="C14" s="145"/>
      <c r="D14" s="145"/>
      <c r="E14" s="145"/>
      <c r="F14" s="145"/>
      <c r="G14" s="145"/>
    </row>
    <row r="15" spans="1:13" x14ac:dyDescent="0.4">
      <c r="F15" s="16"/>
    </row>
    <row r="16" spans="1:13" x14ac:dyDescent="0.4">
      <c r="A16" s="5" t="s">
        <v>16</v>
      </c>
      <c r="B16" s="14">
        <v>10800</v>
      </c>
      <c r="D16" s="16"/>
      <c r="F16" s="16">
        <f>+B6*B16</f>
        <v>1296000</v>
      </c>
    </row>
    <row r="17" spans="1:9" x14ac:dyDescent="0.4">
      <c r="A17" s="5" t="s">
        <v>19</v>
      </c>
      <c r="B17" s="14">
        <v>1274400</v>
      </c>
      <c r="D17" s="39"/>
    </row>
    <row r="18" spans="1:9" x14ac:dyDescent="0.4">
      <c r="A18" s="5" t="s">
        <v>20</v>
      </c>
      <c r="B18" s="125">
        <v>0.48</v>
      </c>
      <c r="D18" s="41"/>
    </row>
    <row r="19" spans="1:9" x14ac:dyDescent="0.4">
      <c r="A19" s="5" t="s">
        <v>21</v>
      </c>
      <c r="B19" s="14">
        <v>5616</v>
      </c>
      <c r="D19" s="41"/>
      <c r="F19" s="16"/>
    </row>
    <row r="20" spans="1:9" x14ac:dyDescent="0.4">
      <c r="A20" s="5" t="s">
        <v>22</v>
      </c>
      <c r="B20" s="124">
        <v>38</v>
      </c>
      <c r="D20" s="41"/>
    </row>
    <row r="21" spans="1:9" x14ac:dyDescent="0.4">
      <c r="A21" s="5" t="s">
        <v>17</v>
      </c>
      <c r="B21" s="123">
        <v>48000</v>
      </c>
      <c r="D21" s="41"/>
    </row>
    <row r="22" spans="1:9" x14ac:dyDescent="0.4">
      <c r="A22" s="5" t="s">
        <v>23</v>
      </c>
      <c r="B22" s="123">
        <v>156000</v>
      </c>
      <c r="D22" s="16"/>
    </row>
    <row r="24" spans="1:9" x14ac:dyDescent="0.4">
      <c r="A24" s="50" t="s">
        <v>40</v>
      </c>
    </row>
    <row r="25" spans="1:9" x14ac:dyDescent="0.4">
      <c r="A25" s="144" t="s">
        <v>132</v>
      </c>
      <c r="B25" s="144"/>
      <c r="C25" s="144"/>
      <c r="D25" s="144"/>
      <c r="E25" s="144"/>
      <c r="F25" s="144"/>
      <c r="G25" s="144"/>
      <c r="H25" s="144"/>
    </row>
    <row r="26" spans="1:9" x14ac:dyDescent="0.4">
      <c r="A26" s="1"/>
      <c r="B26" s="18"/>
      <c r="C26" s="19"/>
      <c r="D26" s="18"/>
      <c r="E26" s="19"/>
      <c r="F26" s="18"/>
    </row>
    <row r="27" spans="1:9" x14ac:dyDescent="0.4">
      <c r="A27" s="17"/>
      <c r="B27" s="67"/>
      <c r="C27" s="19"/>
      <c r="D27" s="67"/>
      <c r="E27" s="19"/>
      <c r="F27" s="67"/>
    </row>
    <row r="28" spans="1:9" ht="30" x14ac:dyDescent="0.4">
      <c r="B28" s="4" t="s">
        <v>24</v>
      </c>
      <c r="C28" s="4"/>
      <c r="D28" s="4" t="s">
        <v>25</v>
      </c>
      <c r="E28" s="4"/>
      <c r="F28" s="4" t="s">
        <v>26</v>
      </c>
      <c r="H28" s="122" t="s">
        <v>133</v>
      </c>
      <c r="I28" s="3" t="s">
        <v>134</v>
      </c>
    </row>
    <row r="29" spans="1:9" x14ac:dyDescent="0.4">
      <c r="A29" s="20" t="s">
        <v>27</v>
      </c>
      <c r="B29" s="21">
        <f>+F6*B9</f>
        <v>576000</v>
      </c>
      <c r="C29" s="22"/>
      <c r="D29" s="21">
        <f>+F6*B16</f>
        <v>648000</v>
      </c>
      <c r="E29" s="22"/>
      <c r="F29" s="21">
        <f>+B17*B18</f>
        <v>611712</v>
      </c>
      <c r="H29" s="21">
        <f>+D29-F29</f>
        <v>36288</v>
      </c>
      <c r="I29" s="21" t="s">
        <v>135</v>
      </c>
    </row>
    <row r="30" spans="1:9" ht="4.9000000000000004" customHeight="1" x14ac:dyDescent="0.4">
      <c r="A30" s="20"/>
      <c r="B30" s="42"/>
      <c r="C30" s="42"/>
      <c r="D30" s="42"/>
      <c r="E30" s="42"/>
      <c r="F30" s="42"/>
      <c r="H30" s="42"/>
      <c r="I30" s="42"/>
    </row>
    <row r="31" spans="1:9" x14ac:dyDescent="0.4">
      <c r="A31" s="20" t="s">
        <v>13</v>
      </c>
      <c r="B31" s="21">
        <f>+F7*B9</f>
        <v>172800</v>
      </c>
      <c r="C31" s="22"/>
      <c r="D31" s="21">
        <f>+F7*B16</f>
        <v>194400</v>
      </c>
      <c r="E31" s="22"/>
      <c r="F31" s="21">
        <f>+B19*B20</f>
        <v>213408</v>
      </c>
      <c r="H31" s="21">
        <f>+D31-F31</f>
        <v>-19008</v>
      </c>
      <c r="I31" s="21" t="s">
        <v>136</v>
      </c>
    </row>
    <row r="32" spans="1:9" ht="4.9000000000000004" customHeight="1" x14ac:dyDescent="0.4">
      <c r="A32" s="20"/>
      <c r="B32" s="42"/>
      <c r="C32" s="42"/>
      <c r="D32" s="42"/>
      <c r="E32" s="42"/>
      <c r="F32" s="42"/>
      <c r="H32" s="42"/>
      <c r="I32" s="42"/>
    </row>
    <row r="33" spans="1:9" x14ac:dyDescent="0.4">
      <c r="A33" s="20" t="s">
        <v>28</v>
      </c>
      <c r="B33" s="21">
        <f>+B11*B9</f>
        <v>42000</v>
      </c>
      <c r="C33" s="22"/>
      <c r="D33" s="21">
        <f>+B11*B16</f>
        <v>47250</v>
      </c>
      <c r="E33" s="22"/>
      <c r="F33" s="21">
        <f>+B21</f>
        <v>48000</v>
      </c>
      <c r="H33" s="21">
        <f>+D33-F33</f>
        <v>-750</v>
      </c>
      <c r="I33" s="21" t="s">
        <v>136</v>
      </c>
    </row>
    <row r="34" spans="1:9" ht="4.9000000000000004" customHeight="1" x14ac:dyDescent="0.4">
      <c r="A34" s="20"/>
      <c r="B34" s="42"/>
      <c r="C34" s="42"/>
      <c r="D34" s="42"/>
      <c r="E34" s="42"/>
      <c r="F34" s="42"/>
      <c r="H34" s="42"/>
      <c r="I34" s="42"/>
    </row>
    <row r="35" spans="1:9" x14ac:dyDescent="0.4">
      <c r="A35" s="20" t="s">
        <v>29</v>
      </c>
      <c r="B35" s="21">
        <f>+B12*B9</f>
        <v>172800</v>
      </c>
      <c r="C35" s="22"/>
      <c r="D35" s="21">
        <f>+B35</f>
        <v>172800</v>
      </c>
      <c r="E35" s="22"/>
      <c r="F35" s="21">
        <f>+B22</f>
        <v>156000</v>
      </c>
      <c r="H35" s="21">
        <f>+D35-F35</f>
        <v>16800</v>
      </c>
      <c r="I35" s="21" t="s">
        <v>135</v>
      </c>
    </row>
    <row r="37" spans="1:9" ht="30" customHeight="1" x14ac:dyDescent="0.4">
      <c r="A37" s="137" t="s">
        <v>130</v>
      </c>
      <c r="B37" s="137"/>
      <c r="C37" s="137"/>
      <c r="D37" s="137"/>
      <c r="E37" s="137"/>
      <c r="F37" s="137"/>
      <c r="G37" s="137"/>
      <c r="H37" s="137"/>
    </row>
    <row r="38" spans="1:9" s="23" customFormat="1" x14ac:dyDescent="0.4">
      <c r="A38" s="1"/>
      <c r="F38" s="4"/>
    </row>
    <row r="39" spans="1:9" x14ac:dyDescent="0.4">
      <c r="B39" s="4" t="s">
        <v>137</v>
      </c>
      <c r="C39" s="4"/>
      <c r="D39" s="4" t="s">
        <v>138</v>
      </c>
      <c r="F39" s="4" t="s">
        <v>30</v>
      </c>
    </row>
    <row r="40" spans="1:9" x14ac:dyDescent="0.4">
      <c r="A40" s="23" t="s">
        <v>131</v>
      </c>
      <c r="B40" s="21">
        <f>+(D7-B20)*B19</f>
        <v>-11232</v>
      </c>
      <c r="C40" s="22"/>
      <c r="D40" s="21">
        <f>+(B7*B16-B19)*D7</f>
        <v>-7776</v>
      </c>
      <c r="E40" s="23"/>
      <c r="F40" s="21">
        <f>+B40+D40</f>
        <v>-19008</v>
      </c>
      <c r="H40" s="62"/>
    </row>
    <row r="41" spans="1:9" customFormat="1" ht="14.25" x14ac:dyDescent="0.45"/>
    <row r="42" spans="1:9" x14ac:dyDescent="0.4">
      <c r="B42" s="67"/>
      <c r="C42" s="19"/>
      <c r="D42" s="67"/>
    </row>
    <row r="44" spans="1:9" ht="33" customHeight="1" x14ac:dyDescent="0.4">
      <c r="A44" s="137" t="s">
        <v>56</v>
      </c>
      <c r="B44" s="137"/>
      <c r="C44" s="137"/>
      <c r="D44" s="137"/>
      <c r="E44" s="137"/>
      <c r="F44" s="137"/>
      <c r="G44" s="137"/>
      <c r="H44" s="137"/>
    </row>
    <row r="45" spans="1:9" x14ac:dyDescent="0.4">
      <c r="A45" s="1"/>
      <c r="B45" s="4"/>
      <c r="C45" s="4"/>
      <c r="D45" s="4"/>
      <c r="E45" s="19"/>
      <c r="F45" s="4" t="s">
        <v>30</v>
      </c>
      <c r="H45" s="4" t="s">
        <v>139</v>
      </c>
    </row>
    <row r="46" spans="1:9" x14ac:dyDescent="0.4">
      <c r="A46" s="23" t="s">
        <v>31</v>
      </c>
      <c r="B46" s="24"/>
      <c r="C46" s="24"/>
      <c r="D46" s="24"/>
      <c r="E46" s="23"/>
      <c r="F46" s="21">
        <f>+B52-B53</f>
        <v>21600</v>
      </c>
      <c r="H46" s="67"/>
    </row>
    <row r="48" spans="1:9" x14ac:dyDescent="0.4">
      <c r="A48" s="23" t="s">
        <v>32</v>
      </c>
      <c r="F48" s="21">
        <f>+B52-B54</f>
        <v>38400</v>
      </c>
      <c r="H48" s="21" t="s">
        <v>143</v>
      </c>
    </row>
    <row r="50" spans="1:6" x14ac:dyDescent="0.4">
      <c r="B50" s="16"/>
      <c r="D50" s="16"/>
      <c r="F50" s="16"/>
    </row>
    <row r="52" spans="1:6" x14ac:dyDescent="0.4">
      <c r="A52" s="3" t="s">
        <v>140</v>
      </c>
      <c r="B52" s="16">
        <f>+B12*B16</f>
        <v>194400</v>
      </c>
    </row>
    <row r="53" spans="1:6" x14ac:dyDescent="0.4">
      <c r="A53" s="3" t="s">
        <v>141</v>
      </c>
      <c r="B53" s="16">
        <f>+B35</f>
        <v>172800</v>
      </c>
    </row>
    <row r="54" spans="1:6" x14ac:dyDescent="0.4">
      <c r="A54" s="3" t="s">
        <v>142</v>
      </c>
      <c r="B54" s="126">
        <f>+B22</f>
        <v>156000</v>
      </c>
    </row>
  </sheetData>
  <mergeCells count="9">
    <mergeCell ref="A25:H25"/>
    <mergeCell ref="A37:H37"/>
    <mergeCell ref="A44:H44"/>
    <mergeCell ref="A1:D1"/>
    <mergeCell ref="A3:G3"/>
    <mergeCell ref="B5:C5"/>
    <mergeCell ref="D5:E5"/>
    <mergeCell ref="F5:G5"/>
    <mergeCell ref="A14:G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zoomScale="140" zoomScaleNormal="140" workbookViewId="0">
      <selection activeCell="C23" sqref="C23"/>
    </sheetView>
  </sheetViews>
  <sheetFormatPr defaultColWidth="12.3984375" defaultRowHeight="15" x14ac:dyDescent="0.4"/>
  <cols>
    <col min="1" max="1" width="31" style="3" customWidth="1"/>
    <col min="2" max="2" width="17" style="3" customWidth="1"/>
    <col min="3" max="3" width="22.265625" style="3" customWidth="1"/>
    <col min="4" max="4" width="18.3984375" style="3" customWidth="1"/>
    <col min="5" max="5" width="16.3984375" style="3" customWidth="1"/>
    <col min="6" max="6" width="9.265625" style="3" customWidth="1"/>
    <col min="7" max="16384" width="12.3984375" style="3"/>
  </cols>
  <sheetData>
    <row r="1" spans="1:7" ht="33" customHeight="1" x14ac:dyDescent="0.4">
      <c r="A1" s="53" t="s">
        <v>46</v>
      </c>
      <c r="B1" s="53"/>
      <c r="C1" s="54"/>
      <c r="D1" s="54"/>
      <c r="E1" s="54"/>
      <c r="F1" s="54"/>
    </row>
    <row r="3" spans="1:7" ht="28.9" customHeight="1" x14ac:dyDescent="0.4">
      <c r="A3" s="149" t="s">
        <v>68</v>
      </c>
      <c r="B3" s="149"/>
      <c r="C3" s="149"/>
      <c r="D3" s="149"/>
      <c r="E3" s="149"/>
      <c r="F3" s="149"/>
      <c r="G3" s="55"/>
    </row>
    <row r="5" spans="1:7" x14ac:dyDescent="0.4">
      <c r="A5" s="1" t="s">
        <v>47</v>
      </c>
    </row>
    <row r="8" spans="1:7" x14ac:dyDescent="0.4">
      <c r="A8" s="56"/>
      <c r="C8" s="19"/>
      <c r="D8" s="19"/>
      <c r="E8" s="19"/>
    </row>
  </sheetData>
  <mergeCells count="1">
    <mergeCell ref="A3:F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zoomScale="140" zoomScaleNormal="140" workbookViewId="0">
      <selection activeCell="B19" sqref="B19"/>
    </sheetView>
  </sheetViews>
  <sheetFormatPr defaultColWidth="12.3984375" defaultRowHeight="15" x14ac:dyDescent="0.4"/>
  <cols>
    <col min="1" max="1" width="31" style="3" customWidth="1"/>
    <col min="2" max="2" width="17" style="3" customWidth="1"/>
    <col min="3" max="3" width="22.265625" style="3" customWidth="1"/>
    <col min="4" max="4" width="18.3984375" style="3" customWidth="1"/>
    <col min="5" max="5" width="16.3984375" style="3" customWidth="1"/>
    <col min="6" max="6" width="9.265625" style="3" customWidth="1"/>
    <col min="7" max="16384" width="12.3984375" style="3"/>
  </cols>
  <sheetData>
    <row r="1" spans="1:7" ht="33" customHeight="1" x14ac:dyDescent="0.4">
      <c r="A1" s="53" t="s">
        <v>52</v>
      </c>
      <c r="B1" s="53"/>
      <c r="C1" s="54"/>
      <c r="D1" s="54"/>
      <c r="E1" s="54"/>
      <c r="F1" s="54"/>
    </row>
    <row r="3" spans="1:7" ht="28.9" customHeight="1" x14ac:dyDescent="0.4">
      <c r="A3" s="149" t="s">
        <v>145</v>
      </c>
      <c r="B3" s="149"/>
      <c r="C3" s="149"/>
      <c r="D3" s="149"/>
      <c r="E3" s="149"/>
      <c r="F3" s="149"/>
      <c r="G3" s="55"/>
    </row>
    <row r="5" spans="1:7" x14ac:dyDescent="0.4">
      <c r="A5" s="1" t="s">
        <v>47</v>
      </c>
    </row>
    <row r="8" spans="1:7" x14ac:dyDescent="0.4">
      <c r="A8" s="56"/>
      <c r="C8" s="19"/>
      <c r="D8" s="19"/>
      <c r="E8" s="19"/>
    </row>
  </sheetData>
  <mergeCells count="1">
    <mergeCell ref="A3:F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zoomScale="140" zoomScaleNormal="140" workbookViewId="0">
      <selection activeCell="A3" sqref="A3:F3"/>
    </sheetView>
  </sheetViews>
  <sheetFormatPr defaultColWidth="12.3984375" defaultRowHeight="15" x14ac:dyDescent="0.4"/>
  <cols>
    <col min="1" max="1" width="31" style="3" customWidth="1"/>
    <col min="2" max="2" width="17" style="3" customWidth="1"/>
    <col min="3" max="3" width="22.265625" style="3" customWidth="1"/>
    <col min="4" max="4" width="18.3984375" style="3" customWidth="1"/>
    <col min="5" max="5" width="16.3984375" style="3" customWidth="1"/>
    <col min="6" max="6" width="9.265625" style="3" customWidth="1"/>
    <col min="7" max="16384" width="12.3984375" style="3"/>
  </cols>
  <sheetData>
    <row r="1" spans="1:7" ht="33" customHeight="1" x14ac:dyDescent="0.4">
      <c r="A1" s="53" t="s">
        <v>53</v>
      </c>
      <c r="B1" s="53"/>
      <c r="C1" s="54"/>
      <c r="D1" s="54"/>
      <c r="E1" s="54"/>
      <c r="F1" s="54"/>
    </row>
    <row r="3" spans="1:7" ht="33" customHeight="1" x14ac:dyDescent="0.4">
      <c r="A3" s="149" t="s">
        <v>60</v>
      </c>
      <c r="B3" s="149"/>
      <c r="C3" s="149"/>
      <c r="D3" s="149"/>
      <c r="E3" s="149"/>
      <c r="F3" s="149"/>
      <c r="G3" s="55"/>
    </row>
    <row r="5" spans="1:7" x14ac:dyDescent="0.4">
      <c r="A5" s="1" t="s">
        <v>47</v>
      </c>
    </row>
    <row r="8" spans="1:7" x14ac:dyDescent="0.4">
      <c r="A8" s="56"/>
      <c r="C8" s="19"/>
      <c r="D8" s="19"/>
      <c r="E8" s="19"/>
    </row>
  </sheetData>
  <mergeCells count="1">
    <mergeCell ref="A3:F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zoomScale="140" zoomScaleNormal="140" workbookViewId="0">
      <selection activeCell="I13" sqref="I13"/>
    </sheetView>
  </sheetViews>
  <sheetFormatPr defaultColWidth="12.3984375" defaultRowHeight="15" x14ac:dyDescent="0.4"/>
  <cols>
    <col min="1" max="1" width="31" style="3" customWidth="1"/>
    <col min="2" max="2" width="17" style="3" customWidth="1"/>
    <col min="3" max="3" width="22.265625" style="3" customWidth="1"/>
    <col min="4" max="4" width="18.3984375" style="3" customWidth="1"/>
    <col min="5" max="5" width="16.3984375" style="3" customWidth="1"/>
    <col min="6" max="6" width="9.265625" style="3" customWidth="1"/>
    <col min="7" max="16384" width="12.3984375" style="3"/>
  </cols>
  <sheetData>
    <row r="1" spans="1:7" ht="33" customHeight="1" x14ac:dyDescent="0.4">
      <c r="A1" s="53" t="s">
        <v>54</v>
      </c>
      <c r="B1" s="53"/>
      <c r="C1" s="54"/>
      <c r="D1" s="54"/>
      <c r="E1" s="54"/>
      <c r="F1" s="54"/>
    </row>
    <row r="3" spans="1:7" ht="38.450000000000003" customHeight="1" x14ac:dyDescent="0.4">
      <c r="A3" s="149" t="s">
        <v>144</v>
      </c>
      <c r="B3" s="149"/>
      <c r="C3" s="149"/>
      <c r="D3" s="149"/>
      <c r="E3" s="149"/>
      <c r="F3" s="149"/>
      <c r="G3" s="55"/>
    </row>
    <row r="5" spans="1:7" x14ac:dyDescent="0.4">
      <c r="A5" s="1" t="s">
        <v>47</v>
      </c>
    </row>
    <row r="8" spans="1:7" x14ac:dyDescent="0.4">
      <c r="A8" s="56"/>
      <c r="C8" s="19"/>
      <c r="D8" s="19"/>
      <c r="E8" s="19"/>
    </row>
  </sheetData>
  <mergeCells count="1">
    <mergeCell ref="A3:F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Anagrafica</vt:lpstr>
      <vt:lpstr>esercizio 1</vt:lpstr>
      <vt:lpstr>Esercizio 2</vt:lpstr>
      <vt:lpstr>esercizio 3</vt:lpstr>
      <vt:lpstr>esercizio 4</vt:lpstr>
      <vt:lpstr>domanda 1</vt:lpstr>
      <vt:lpstr>domanda 2</vt:lpstr>
      <vt:lpstr>domanda 3</vt:lpstr>
      <vt:lpstr>domanda 4</vt:lpstr>
    </vt:vector>
  </TitlesOfParts>
  <Company>Universita' Luigi Bocconi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Universita' Luigi Bocconi</dc:creator>
  <cp:lastModifiedBy>Universita' Luigi Bocconi</cp:lastModifiedBy>
  <dcterms:created xsi:type="dcterms:W3CDTF">2022-07-19T07:54:19Z</dcterms:created>
  <dcterms:modified xsi:type="dcterms:W3CDTF">2023-01-22T19:34:53Z</dcterms:modified>
</cp:coreProperties>
</file>