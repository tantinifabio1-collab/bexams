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giuliaderosa/Desktop/Programmazione e controllo/pc past/Fatti/"/>
    </mc:Choice>
  </mc:AlternateContent>
  <xr:revisionPtr revIDLastSave="0" documentId="13_ncr:1_{DD9ADCC6-FA7D-AE4B-A6C0-2CDF312BB252}" xr6:coauthVersionLast="47" xr6:coauthVersionMax="47" xr10:uidLastSave="{00000000-0000-0000-0000-000000000000}"/>
  <bookViews>
    <workbookView xWindow="0" yWindow="500" windowWidth="28800" windowHeight="18000" activeTab="8" xr2:uid="{00000000-000D-0000-FFFF-FFFF00000000}"/>
  </bookViews>
  <sheets>
    <sheet name="Anagrafica" sheetId="8" r:id="rId1"/>
    <sheet name="esercizio 1" sheetId="10" r:id="rId2"/>
    <sheet name="esercizio 2" sheetId="7" r:id="rId3"/>
    <sheet name="esercizio 3" sheetId="6" r:id="rId4"/>
    <sheet name="esercizio 4" sheetId="9" r:id="rId5"/>
    <sheet name="domanda 1" sheetId="12" r:id="rId6"/>
    <sheet name="domanda 2" sheetId="11" r:id="rId7"/>
    <sheet name="domanda 3" sheetId="13" r:id="rId8"/>
    <sheet name="domanda 4" sheetId="14" r:id="rId9"/>
  </sheets>
  <definedNames>
    <definedName name="_xlnm.Print_Area" localSheetId="0">Anagrafica!$A$1:$C$12</definedName>
    <definedName name="_xlnm.Print_Area" localSheetId="5">'domanda 1'!$A$1:$E$6</definedName>
    <definedName name="_xlnm.Print_Area" localSheetId="6">'domanda 2'!$A$1:$E$6</definedName>
    <definedName name="_xlnm.Print_Area" localSheetId="7">'domanda 3'!$A$1:$D$6</definedName>
    <definedName name="_xlnm.Print_Area" localSheetId="8">'domanda 4'!$A$1:$E$6</definedName>
    <definedName name="_xlnm.Print_Area" localSheetId="1">'esercizio 1'!$A$1:$C$23</definedName>
    <definedName name="_xlnm.Print_Area" localSheetId="2">'esercizio 2'!$A$1:$F$28</definedName>
    <definedName name="_xlnm.Print_Area" localSheetId="3">'esercizio 3'!$A$1:$F$18</definedName>
    <definedName name="_xlnm.Print_Area" localSheetId="4">'esercizio 4'!$B$1:$G$18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0" i="9" l="1"/>
  <c r="E40" i="9"/>
  <c r="C40" i="9"/>
  <c r="E39" i="9"/>
  <c r="D39" i="9"/>
  <c r="C39" i="9"/>
  <c r="D38" i="9"/>
  <c r="E38" i="9"/>
  <c r="C38" i="9"/>
  <c r="E37" i="9"/>
  <c r="E36" i="9"/>
  <c r="D37" i="9"/>
  <c r="D36" i="9"/>
  <c r="C37" i="9"/>
  <c r="C36" i="9"/>
  <c r="D35" i="9" l="1"/>
  <c r="E35" i="9"/>
  <c r="F35" i="9"/>
  <c r="C35" i="9"/>
  <c r="F34" i="9"/>
  <c r="E34" i="9"/>
  <c r="D34" i="9"/>
  <c r="C34" i="9"/>
  <c r="D33" i="9"/>
  <c r="E33" i="9"/>
  <c r="F33" i="9"/>
  <c r="C33" i="9"/>
  <c r="E31" i="9"/>
  <c r="F31" i="9"/>
  <c r="G29" i="9"/>
  <c r="G28" i="9"/>
  <c r="F30" i="9"/>
  <c r="G24" i="9"/>
  <c r="F29" i="9"/>
  <c r="F28" i="9"/>
  <c r="E30" i="9"/>
  <c r="E29" i="9"/>
  <c r="E28" i="9"/>
  <c r="D31" i="9"/>
  <c r="D30" i="9"/>
  <c r="D29" i="9"/>
  <c r="D28" i="9"/>
  <c r="C31" i="9"/>
  <c r="C30" i="9"/>
  <c r="C28" i="9"/>
  <c r="D24" i="9"/>
  <c r="E24" i="9"/>
  <c r="F24" i="9"/>
  <c r="C24" i="9"/>
  <c r="B38" i="6"/>
  <c r="B39" i="6"/>
  <c r="B36" i="6"/>
  <c r="C28" i="6"/>
  <c r="C29" i="6"/>
  <c r="B28" i="6"/>
  <c r="B27" i="6"/>
  <c r="B26" i="6"/>
  <c r="B25" i="6"/>
  <c r="B24" i="6"/>
  <c r="B23" i="6"/>
  <c r="B22" i="6"/>
  <c r="D54" i="7"/>
  <c r="E54" i="7"/>
  <c r="C54" i="7"/>
  <c r="E52" i="7"/>
  <c r="D52" i="7"/>
  <c r="C52" i="7"/>
  <c r="E51" i="7"/>
  <c r="D51" i="7"/>
  <c r="C51" i="7"/>
  <c r="E50" i="7"/>
  <c r="D50" i="7"/>
  <c r="C50" i="7"/>
  <c r="E49" i="7"/>
  <c r="D49" i="7"/>
  <c r="C49" i="7"/>
  <c r="D44" i="7"/>
  <c r="C44" i="7"/>
  <c r="B44" i="7"/>
  <c r="B42" i="7"/>
  <c r="C42" i="7"/>
  <c r="D42" i="7"/>
  <c r="E39" i="7"/>
  <c r="E35" i="7"/>
  <c r="E36" i="7"/>
  <c r="E37" i="7"/>
  <c r="E38" i="7"/>
  <c r="C39" i="7"/>
  <c r="D39" i="7"/>
  <c r="B39" i="7"/>
  <c r="D38" i="7"/>
  <c r="C38" i="7"/>
  <c r="B38" i="7"/>
  <c r="D37" i="7"/>
  <c r="C36" i="7"/>
  <c r="B36" i="7"/>
  <c r="C35" i="7"/>
  <c r="E34" i="7"/>
  <c r="D34" i="7"/>
  <c r="C34" i="7"/>
  <c r="B34" i="7"/>
  <c r="C53" i="10"/>
  <c r="B53" i="10"/>
  <c r="C52" i="10"/>
  <c r="B52" i="10"/>
  <c r="B51" i="10"/>
  <c r="B50" i="10"/>
  <c r="B49" i="10"/>
  <c r="B48" i="10"/>
  <c r="C47" i="10"/>
  <c r="B47" i="10"/>
  <c r="C43" i="10"/>
  <c r="B43" i="10"/>
  <c r="C42" i="10"/>
  <c r="B42" i="10"/>
  <c r="D38" i="10"/>
  <c r="D31" i="10"/>
  <c r="D32" i="10"/>
  <c r="D33" i="10"/>
  <c r="D34" i="10"/>
  <c r="D35" i="10"/>
  <c r="D36" i="10"/>
  <c r="D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D30" i="10"/>
  <c r="C30" i="10"/>
  <c r="B30" i="10"/>
  <c r="C29" i="10" l="1"/>
  <c r="C41" i="10" s="1"/>
  <c r="C46" i="10" s="1"/>
  <c r="B29" i="10"/>
  <c r="B41" i="10" s="1"/>
  <c r="B46" i="10" s="1"/>
  <c r="C12" i="10" l="1"/>
  <c r="B12" i="10"/>
</calcChain>
</file>

<file path=xl/sharedStrings.xml><?xml version="1.0" encoding="utf-8"?>
<sst xmlns="http://schemas.openxmlformats.org/spreadsheetml/2006/main" count="188" uniqueCount="162">
  <si>
    <t>costi diretti</t>
  </si>
  <si>
    <t>num giorni permanenza</t>
  </si>
  <si>
    <t>num ingressi golf court</t>
  </si>
  <si>
    <t>- il costo per i prodotti cosmetici della SPA ammontavano a:</t>
  </si>
  <si>
    <t>Euro</t>
  </si>
  <si>
    <t>- le manutenzioni del campo da golf ammontavano a:</t>
  </si>
  <si>
    <t>- i costi di affitto della struttura erano addebitabili per due terzi alle Suites, il rimanente da dividersi in parti uguali tra SPA e Golf. Il totale costi per affitti era pari a:</t>
  </si>
  <si>
    <t>- numero di fatture emesse:</t>
  </si>
  <si>
    <t>- numero giorni complessivi di permanenza clienti nel Resort:</t>
  </si>
  <si>
    <t>- numero di camere gestite:</t>
  </si>
  <si>
    <t>- numero ingressi al campo da golf:</t>
  </si>
  <si>
    <t>- numero di ore di utilizzo della SPA:</t>
  </si>
  <si>
    <t>In base alle informazioni fornite:
1. Si calcoli il costo di ciascuna attività, procedendo all’attribuzione dei costi indiretti elencati;
2. Calcolare il costo per activity driver, procedendo ad identificare il driver più appropriato tra quelli elencati</t>
  </si>
  <si>
    <t>num fatture emesse</t>
  </si>
  <si>
    <t>num ore utilizzo SPA</t>
  </si>
  <si>
    <t>SOLUZIONE</t>
  </si>
  <si>
    <t>Nome</t>
  </si>
  <si>
    <t>Cognome</t>
  </si>
  <si>
    <t>Matricola</t>
  </si>
  <si>
    <t>Classe</t>
  </si>
  <si>
    <t>L’azienda avrebbe capacità produttiva sufficiente ad evadere il nuovo ordine.</t>
  </si>
  <si>
    <t>Il costo standard unitario del prodotto è il seguente:</t>
  </si>
  <si>
    <t>- materiali diretti</t>
  </si>
  <si>
    <t>- manodopera diretta (costo variabile)</t>
  </si>
  <si>
    <t>- costi indiretti variabili</t>
  </si>
  <si>
    <t>- costi indiretti fissi</t>
  </si>
  <si>
    <t>Il prezzo normale di vendita (listino) è pari a:</t>
  </si>
  <si>
    <t>prezzo unitario</t>
  </si>
  <si>
    <t>provvigione per l'intermediario commerciale</t>
  </si>
  <si>
    <t>costo di trasporto (importo fisso indipendente dai volumi)</t>
  </si>
  <si>
    <t>volumi richiesti</t>
  </si>
  <si>
    <t>unità</t>
  </si>
  <si>
    <t>3. Coerentemente con le informazioni precedentemente fornite, si calcoli il costo complessivo di tre pacchetti turistici in particolare (pacchetto A, B e C).  Queste le informazioni di dettaglio dei pacchetti in esame:</t>
  </si>
  <si>
    <t>A</t>
  </si>
  <si>
    <t>B</t>
  </si>
  <si>
    <t>C</t>
  </si>
  <si>
    <t>num schede amministrative pacchetti</t>
  </si>
  <si>
    <t>- il costo delle lavanderie esterne era imputabile al 75% alle Suites e il rimanente alla SPA. Il costo complessivo delle lavanderie esterne era pari a:</t>
  </si>
  <si>
    <t>Esame di Programmazione &amp; Controllo - Prova Generale del 23 maggio 2022</t>
  </si>
  <si>
    <t>L'azienda riceve un ordine speciale da un cliente canadese con le seguenti caratteristiche:</t>
  </si>
  <si>
    <t>Dati di sintesi:</t>
  </si>
  <si>
    <t>Rimanenze Iniziali di Prodotti Finiti (unità)</t>
  </si>
  <si>
    <t>Rimanenze Finali di Prodotti Finiti in % sulle vendite del mese successivo</t>
  </si>
  <si>
    <t>Rimanenze Finali di Materiali Diretti in % del fabbisogno del mese successivo</t>
  </si>
  <si>
    <t xml:space="preserve">La Funzione Commerciale ha previsto a budget i seguenti volumi di vendita di borse: </t>
  </si>
  <si>
    <t>Gennaio</t>
  </si>
  <si>
    <t>Febbraio</t>
  </si>
  <si>
    <t>Marzo</t>
  </si>
  <si>
    <t>Aprile</t>
  </si>
  <si>
    <t>Maggio</t>
  </si>
  <si>
    <t>Volume di Vendita (in unità)</t>
  </si>
  <si>
    <t>DOMANDA 1 (punti 2)</t>
  </si>
  <si>
    <t>RISPOSTA</t>
  </si>
  <si>
    <t>- La gestione Suites impiegava 12 addetti, la gestione SPA impiegava 6 addetti e la gestione Golf impiegava 10 addetti. Gli stipendi erano complessivamente pari a:</t>
  </si>
  <si>
    <t>Nel corso dell’anno 2021 il Golf&amp;Resort ha sostenuto costi indiretti riferibili a tre attività: gestione Suites, gestione SPA e Gestione Campo da Golf. Da un’analisi contabile di dettaglio dei costi indiretti risultava che:</t>
  </si>
  <si>
    <t>Al fine di imputare correttamente i costi indiretti, il controller del Resort ha quantificato i seguenti volumi di attività relativi all’anno 2021:</t>
  </si>
  <si>
    <t>Il Costa Rei Golf&amp;Resort utilizza una metodologia Activity Based Costing (ABC) per imputare i propri costi indiretti ai singoli pacchetti turistici.  Per ogni pacchetto turistico della struttura, l’ufficio amministrativo apre uno specifico conto (scheda amministrativa pacchetto) nel quale confluiscono i costi diretti (consumazioni dirette) e i costi indiretti, imputati mediante la tecnica ABC. In questo modo si definisce il costo pieno di ogni pacchetto turistico.</t>
  </si>
  <si>
    <t>Di seguito, alcune informazioni di sintesi relative ai due prodotti:</t>
  </si>
  <si>
    <t>Totale Unità prodotto e vendute in un anno</t>
  </si>
  <si>
    <t>Si consideri quanto segue:</t>
  </si>
  <si>
    <t>Domande</t>
  </si>
  <si>
    <t>Cosmos è una piccola azienda specializzata nella produzione e vendita online di prodotti cosmetici. Nello specifico lo scorso anno ha lanciato due nuovi prodotti: Rossetti e Eyeliner.</t>
  </si>
  <si>
    <t>Rossetti</t>
  </si>
  <si>
    <t>Eyeliner</t>
  </si>
  <si>
    <t>Materie Prime - Costo unitario per prodotto</t>
  </si>
  <si>
    <t>ESERCIZIO 4 (punti 6)</t>
  </si>
  <si>
    <t>Costo transazione e-commerce per prodotto venduto (sul prezzo di vendita)</t>
  </si>
  <si>
    <t>Si valuti la convenienza economica ad accettare o rifiutare l’ordine e si definisca, a parità di altre condizioni, la quantità minima di turbine da vendere al cliente canadese che renda indifferente, dal punto di vista economico, l’accettazione o meno dell’ordine speciale.</t>
  </si>
  <si>
    <t>La meccanica Valmadrera produce turbine a idrogetto per imbarcazioni</t>
  </si>
  <si>
    <t>DOMANDA 2 (punti 2)</t>
  </si>
  <si>
    <t>DOMANDA 4 (punti 2)</t>
  </si>
  <si>
    <t>DOMANDA 3 (punti 2)</t>
  </si>
  <si>
    <t>Prezzo di vendita unitario</t>
  </si>
  <si>
    <t>ESERCIZIO 1 (punti 6)</t>
  </si>
  <si>
    <t>Rimanenze Iniziali di Materiali Diretti (metri)</t>
  </si>
  <si>
    <t>Costo dei Materiali Diretti per metro (euro)</t>
  </si>
  <si>
    <t>Quantità standard (m) di Materiali Diretti per unità di Prodotto Finito</t>
  </si>
  <si>
    <t>ESERCIZIO 2 (punti 6)</t>
  </si>
  <si>
    <t>ESERCIZIO 3 (punti 5)</t>
  </si>
  <si>
    <t>·         L’azienda sostiene costi per la gestione della piattaforma e-commerce di ciascun prodotto pari di a € 75.000.</t>
  </si>
  <si>
    <t>·         Le spese di pubblicità sono rispettivamente pari a € 40.000 per i Rossetti e € 20.000 per gli Eyeliner;</t>
  </si>
  <si>
    <t>·         I costi comuni di gestione sono pari ad € 425.000. Questi non vengono allocati ai prodotti;</t>
  </si>
  <si>
    <t>2.      Quante unità di ciascun prodotto devono essere vendute per raggiungere il pareggio a livello di Margine  di Segmento?</t>
  </si>
  <si>
    <t>3.      Si assuma che nel prossimo anno il mix dei ricavi sia: 50% “Rossetti” e 50% “Eyeliner”. Mantenendo invariati i costi fissi, quante unità per ciascun prodotto dovranno essere vendute per consentire all’azienda di generare un Reddito Netto pari a € 180,000, ipotizzando un tax rate pari al 40%?</t>
  </si>
  <si>
    <t>Scandicci Bags srl è una pelletteria ubicata in Toscana che produce borse di alta qualità. La controller sta predisponendo il budget relativo al primo trimestre 2022 (Gennaio-Marzo). A questo scopo, raccoglie le seguenti informazioni:</t>
  </si>
  <si>
    <r>
      <t>Le Rimanenze Iniziali di Prodotti Finiti (al primo di gennaio)</t>
    </r>
    <r>
      <rPr>
        <sz val="12"/>
        <color rgb="FFFF0000"/>
        <rFont val="Arial"/>
        <family val="2"/>
      </rPr>
      <t xml:space="preserve"> </t>
    </r>
    <r>
      <rPr>
        <sz val="12"/>
        <color theme="1"/>
        <rFont val="Arial"/>
        <family val="2"/>
      </rPr>
      <t xml:space="preserve">sono pari a </t>
    </r>
    <r>
      <rPr>
        <sz val="12"/>
        <rFont val="Arial"/>
        <family val="2"/>
      </rPr>
      <t xml:space="preserve">1.400 </t>
    </r>
    <r>
      <rPr>
        <sz val="12"/>
        <color theme="1"/>
        <rFont val="Arial"/>
        <family val="2"/>
      </rPr>
      <t>borse; il livello atteso di rimanenze Finali alla fine di ogni mese deve essere pari al 75% delle vendite del mese successivo;</t>
    </r>
  </si>
  <si>
    <t>Reddito Operativo Lordo</t>
  </si>
  <si>
    <t>N° unità per BEP</t>
  </si>
  <si>
    <t>Numero prodotti per segmento</t>
  </si>
  <si>
    <t>suites</t>
  </si>
  <si>
    <t>spa</t>
  </si>
  <si>
    <t>golf</t>
  </si>
  <si>
    <t>totale</t>
  </si>
  <si>
    <t>totale attività</t>
  </si>
  <si>
    <t>CONTO ECONOMICO PACCHETTO TURISTICO</t>
  </si>
  <si>
    <t>totale costo pacchetto turistico</t>
  </si>
  <si>
    <t>Delta RO</t>
  </si>
  <si>
    <t>TOT unità minime</t>
  </si>
  <si>
    <t>Volumi di vendita (num unità)</t>
  </si>
  <si>
    <t>Volume di Produzione</t>
  </si>
  <si>
    <t>Acquisti (€)</t>
  </si>
  <si>
    <t>Le Rimanenze Iniziali di Materiali Diretti sono pari a 500 metri (m). La produzione di ogni borsa richiede 2.5 m di Materiali Diretti. Il costo dei Materiali Diretti è pari a  € 84/m. Il livello atteso di rimanenze finali di Materiali Diretti alla fine di ogni mese deve essere uguale al 40% del fabbisogno di produzione del mese successivo.</t>
  </si>
  <si>
    <t>a)      Si determini il volume di produzione di budget per il primo trimestre 2022;</t>
  </si>
  <si>
    <t>b)      Si determini il budget dei Materiali Diretti per il primo trimestre 2022.</t>
  </si>
  <si>
    <t>Si descriva il concetto di costo opportunità e il suo possibile utilizzo nei processi decisionali.</t>
  </si>
  <si>
    <t>Si definiscano le finalità dei Prezzi di Trasferimento e la regola generale per la loro determinazione.</t>
  </si>
  <si>
    <t>Si illustrino le differenti tipologie di "Sustainability Balanced Scorecard".</t>
  </si>
  <si>
    <t>Si definisca il concetto di "Delta Assorbimento" con riferimento ai costi indiretti di produzione.</t>
  </si>
  <si>
    <t>1.      Si prepari un conto Economico per Area di Business che evidenzi: Margine di Contribuzione, Margine di Segmento, Reddito Operativo Aziendale.</t>
  </si>
  <si>
    <t>MP</t>
  </si>
  <si>
    <t>Fatturato</t>
  </si>
  <si>
    <t>Costi transazione e-commerce</t>
  </si>
  <si>
    <t>MdC</t>
  </si>
  <si>
    <t>Pubblicità</t>
  </si>
  <si>
    <t>Piattaforma</t>
  </si>
  <si>
    <t>Margine di segmento</t>
  </si>
  <si>
    <t>COSTI COMUNI DI GESTIONE</t>
  </si>
  <si>
    <t>MdC unitario</t>
  </si>
  <si>
    <t>Indice MdC</t>
  </si>
  <si>
    <t>Indice MdC medio ponderato</t>
  </si>
  <si>
    <t>Reddito operativo ANTE IMPOSTE</t>
  </si>
  <si>
    <t>TOTALE COSTI FISSI</t>
  </si>
  <si>
    <t>Fatturato obiettivo per segmento</t>
  </si>
  <si>
    <t>FATTURATO OBIETTIVO (= RO ante imposte + CF TOT) / Indice MdC medio ponderato</t>
  </si>
  <si>
    <t>Activity driver</t>
  </si>
  <si>
    <t>Personale</t>
  </si>
  <si>
    <t>prodotti cosmetici</t>
  </si>
  <si>
    <t>Costo lavanderie</t>
  </si>
  <si>
    <t>Manutenzioni campo golf</t>
  </si>
  <si>
    <t>Costi di affitto</t>
  </si>
  <si>
    <t>num. Ore utilizzo spa</t>
  </si>
  <si>
    <t>num ingressi campo golf</t>
  </si>
  <si>
    <t>num. giorni permanenza</t>
  </si>
  <si>
    <t>COSTO/AD</t>
  </si>
  <si>
    <t>COSTI DIRETTI</t>
  </si>
  <si>
    <t>attività suites</t>
  </si>
  <si>
    <t>attività spa</t>
  </si>
  <si>
    <t>attività golf</t>
  </si>
  <si>
    <t>MOD</t>
  </si>
  <si>
    <t>OdV SPECIALE</t>
  </si>
  <si>
    <t>Prezzo u</t>
  </si>
  <si>
    <t xml:space="preserve">CIV </t>
  </si>
  <si>
    <t>Provvigione</t>
  </si>
  <si>
    <t>MdC incrementale</t>
  </si>
  <si>
    <t>CF specifici</t>
  </si>
  <si>
    <t>CV TOTALI</t>
  </si>
  <si>
    <t>TOTALE</t>
  </si>
  <si>
    <t>OdV SPECIALE CONVENIENTE</t>
  </si>
  <si>
    <t>Unità eccedenti</t>
  </si>
  <si>
    <t>% rimanenze PF (n-1)</t>
  </si>
  <si>
    <t>% rimanenze MP (n-1)</t>
  </si>
  <si>
    <t>RI PF</t>
  </si>
  <si>
    <t>Vendite</t>
  </si>
  <si>
    <t>RF PF</t>
  </si>
  <si>
    <t>MATERIALI DIRETTI</t>
  </si>
  <si>
    <t>Produzione richiesta</t>
  </si>
  <si>
    <t>MP p/u</t>
  </si>
  <si>
    <t>FABBISOGNO TOTALE MP</t>
  </si>
  <si>
    <t>RF MP</t>
  </si>
  <si>
    <t>RI MP</t>
  </si>
  <si>
    <t>MP da acquistare</t>
  </si>
  <si>
    <t>prezzo u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</si>
</sst>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_€_-;\-* #,##0\ _€_-;_-* &quot;-&quot;??\ _€_-;_-@_-"/>
    <numFmt numFmtId="165" formatCode="_-* #,##0_-;\-* #,##0_-;_-* &quot;-&quot;??_-;_-@_-"/>
    <numFmt numFmtId="166" formatCode="_-* #,##0\ &quot;€&quot;_-;\-* #,##0\ &quot;€&quot;_-;_-* &quot;-&quot;??\ &quot;€&quot;_-;_-@_-"/>
    <numFmt numFmtId="167" formatCode="_-&quot;€&quot;\ * #,##0_-;\-&quot;€&quot;\ * #,##0_-;_-&quot;€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Tahoma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"/>
      <family val="2"/>
    </font>
    <font>
      <b/>
      <sz val="16"/>
      <color rgb="FFFF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rgb="FFFF0000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1"/>
      <color rgb="FFFF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5" fillId="0" borderId="0" xfId="0" applyFont="1"/>
    <xf numFmtId="164" fontId="5" fillId="0" borderId="0" xfId="1" applyNumberFormat="1" applyFont="1" applyBorder="1"/>
    <xf numFmtId="0" fontId="5" fillId="0" borderId="4" xfId="0" applyFont="1" applyBorder="1"/>
    <xf numFmtId="164" fontId="5" fillId="0" borderId="0" xfId="0" applyNumberFormat="1" applyFont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5" fillId="0" borderId="4" xfId="1" applyNumberFormat="1" applyFont="1" applyBorder="1"/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164" fontId="5" fillId="0" borderId="6" xfId="1" applyNumberFormat="1" applyFont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vertical="center" wrapText="1"/>
    </xf>
    <xf numFmtId="165" fontId="5" fillId="0" borderId="0" xfId="1" applyNumberFormat="1" applyFont="1"/>
    <xf numFmtId="165" fontId="5" fillId="0" borderId="0" xfId="1" applyNumberFormat="1" applyFont="1" applyAlignment="1"/>
    <xf numFmtId="0" fontId="5" fillId="0" borderId="0" xfId="0" applyFont="1" applyAlignment="1">
      <alignment wrapText="1"/>
    </xf>
    <xf numFmtId="0" fontId="7" fillId="0" borderId="0" xfId="0" applyFont="1"/>
    <xf numFmtId="0" fontId="5" fillId="0" borderId="1" xfId="0" applyFont="1" applyBorder="1"/>
    <xf numFmtId="0" fontId="5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0" xfId="0" applyFont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9" fillId="0" borderId="9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0" borderId="10" xfId="0" applyFont="1" applyBorder="1" applyAlignment="1">
      <alignment horizontal="left" vertical="top" wrapText="1"/>
    </xf>
    <xf numFmtId="0" fontId="0" fillId="0" borderId="0" xfId="0" applyAlignment="1">
      <alignment horizontal="right"/>
    </xf>
    <xf numFmtId="0" fontId="7" fillId="3" borderId="0" xfId="0" applyFont="1" applyFill="1"/>
    <xf numFmtId="0" fontId="9" fillId="3" borderId="0" xfId="0" applyFont="1" applyFill="1"/>
    <xf numFmtId="0" fontId="10" fillId="0" borderId="0" xfId="0" applyFont="1"/>
    <xf numFmtId="0" fontId="5" fillId="0" borderId="0" xfId="0" applyFont="1" applyAlignment="1">
      <alignment horizontal="justify" vertical="center"/>
    </xf>
    <xf numFmtId="0" fontId="11" fillId="5" borderId="9" xfId="0" applyFont="1" applyFill="1" applyBorder="1" applyAlignment="1">
      <alignment vertical="center"/>
    </xf>
    <xf numFmtId="0" fontId="12" fillId="5" borderId="10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vertical="center"/>
    </xf>
    <xf numFmtId="165" fontId="11" fillId="0" borderId="8" xfId="1" applyNumberFormat="1" applyFont="1" applyBorder="1" applyAlignment="1">
      <alignment horizontal="center" vertical="center"/>
    </xf>
    <xf numFmtId="43" fontId="11" fillId="0" borderId="8" xfId="1" applyFont="1" applyBorder="1" applyAlignment="1">
      <alignment horizontal="center" vertical="center"/>
    </xf>
    <xf numFmtId="9" fontId="11" fillId="0" borderId="8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2" fillId="5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justify" vertical="center"/>
    </xf>
    <xf numFmtId="0" fontId="15" fillId="0" borderId="0" xfId="0" applyFont="1"/>
    <xf numFmtId="166" fontId="5" fillId="0" borderId="11" xfId="4" applyNumberFormat="1" applyFont="1" applyBorder="1"/>
    <xf numFmtId="165" fontId="5" fillId="0" borderId="11" xfId="1" applyNumberFormat="1" applyFont="1" applyBorder="1"/>
    <xf numFmtId="9" fontId="5" fillId="0" borderId="11" xfId="5" applyFont="1" applyBorder="1"/>
    <xf numFmtId="0" fontId="4" fillId="0" borderId="0" xfId="0" applyFont="1"/>
    <xf numFmtId="0" fontId="5" fillId="0" borderId="0" xfId="0" quotePrefix="1" applyFont="1" applyAlignment="1">
      <alignment horizontal="right"/>
    </xf>
    <xf numFmtId="0" fontId="5" fillId="0" borderId="0" xfId="0" applyFont="1" applyAlignment="1">
      <alignment horizontal="right"/>
    </xf>
    <xf numFmtId="9" fontId="5" fillId="0" borderId="0" xfId="0" applyNumberFormat="1" applyFont="1"/>
    <xf numFmtId="43" fontId="5" fillId="0" borderId="11" xfId="1" applyFont="1" applyBorder="1"/>
    <xf numFmtId="9" fontId="5" fillId="0" borderId="11" xfId="0" applyNumberFormat="1" applyFont="1" applyBorder="1"/>
    <xf numFmtId="43" fontId="4" fillId="0" borderId="0" xfId="1" applyFont="1" applyAlignment="1">
      <alignment horizontal="center"/>
    </xf>
    <xf numFmtId="0" fontId="4" fillId="0" borderId="11" xfId="0" applyFont="1" applyBorder="1"/>
    <xf numFmtId="165" fontId="4" fillId="0" borderId="11" xfId="1" applyNumberFormat="1" applyFont="1" applyBorder="1"/>
    <xf numFmtId="165" fontId="4" fillId="0" borderId="0" xfId="1" applyNumberFormat="1" applyFont="1" applyBorder="1"/>
    <xf numFmtId="0" fontId="5" fillId="0" borderId="0" xfId="0" applyFont="1" applyAlignment="1">
      <alignment horizontal="left" vertical="center"/>
    </xf>
    <xf numFmtId="0" fontId="14" fillId="0" borderId="0" xfId="0" applyFont="1"/>
    <xf numFmtId="0" fontId="17" fillId="0" borderId="0" xfId="0" applyFont="1"/>
    <xf numFmtId="0" fontId="5" fillId="0" borderId="0" xfId="0" applyFont="1" applyAlignment="1">
      <alignment vertical="center" wrapText="1"/>
    </xf>
    <xf numFmtId="0" fontId="11" fillId="0" borderId="13" xfId="0" applyFont="1" applyBorder="1" applyAlignment="1">
      <alignment vertical="center"/>
    </xf>
    <xf numFmtId="166" fontId="11" fillId="0" borderId="14" xfId="4" applyNumberFormat="1" applyFont="1" applyBorder="1" applyAlignment="1">
      <alignment vertical="center"/>
    </xf>
    <xf numFmtId="166" fontId="5" fillId="0" borderId="15" xfId="0" applyNumberFormat="1" applyFont="1" applyBorder="1"/>
    <xf numFmtId="0" fontId="11" fillId="0" borderId="16" xfId="0" applyFont="1" applyBorder="1" applyAlignment="1">
      <alignment vertical="center"/>
    </xf>
    <xf numFmtId="166" fontId="11" fillId="0" borderId="11" xfId="4" applyNumberFormat="1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44" fontId="11" fillId="0" borderId="11" xfId="4" applyFont="1" applyBorder="1" applyAlignment="1">
      <alignment vertical="center"/>
    </xf>
    <xf numFmtId="0" fontId="11" fillId="0" borderId="0" xfId="0" applyFont="1" applyAlignment="1">
      <alignment vertical="center"/>
    </xf>
    <xf numFmtId="165" fontId="11" fillId="0" borderId="0" xfId="1" applyNumberFormat="1" applyFont="1" applyBorder="1" applyAlignment="1">
      <alignment vertical="center"/>
    </xf>
    <xf numFmtId="0" fontId="5" fillId="0" borderId="13" xfId="0" applyFont="1" applyBorder="1"/>
    <xf numFmtId="0" fontId="5" fillId="0" borderId="16" xfId="0" applyFont="1" applyBorder="1"/>
    <xf numFmtId="166" fontId="5" fillId="0" borderId="11" xfId="0" applyNumberFormat="1" applyFont="1" applyBorder="1"/>
    <xf numFmtId="0" fontId="12" fillId="5" borderId="3" xfId="0" applyFont="1" applyFill="1" applyBorder="1" applyAlignment="1">
      <alignment horizontal="center" vertical="center" wrapText="1"/>
    </xf>
    <xf numFmtId="0" fontId="5" fillId="0" borderId="11" xfId="0" applyFont="1" applyBorder="1"/>
    <xf numFmtId="9" fontId="5" fillId="0" borderId="11" xfId="5" applyFont="1" applyBorder="1" applyAlignment="1"/>
    <xf numFmtId="44" fontId="5" fillId="0" borderId="11" xfId="0" applyNumberFormat="1" applyFont="1" applyBorder="1"/>
    <xf numFmtId="0" fontId="12" fillId="0" borderId="16" xfId="0" applyFont="1" applyBorder="1" applyAlignment="1">
      <alignment vertical="center"/>
    </xf>
    <xf numFmtId="165" fontId="12" fillId="0" borderId="11" xfId="1" applyNumberFormat="1" applyFont="1" applyBorder="1" applyAlignment="1">
      <alignment vertical="center"/>
    </xf>
    <xf numFmtId="166" fontId="4" fillId="0" borderId="11" xfId="0" applyNumberFormat="1" applyFont="1" applyBorder="1"/>
    <xf numFmtId="0" fontId="12" fillId="0" borderId="11" xfId="0" applyFont="1" applyBorder="1" applyAlignment="1">
      <alignment vertical="center"/>
    </xf>
    <xf numFmtId="0" fontId="4" fillId="0" borderId="16" xfId="0" applyFont="1" applyBorder="1"/>
    <xf numFmtId="166" fontId="12" fillId="0" borderId="11" xfId="4" applyNumberFormat="1" applyFont="1" applyFill="1" applyBorder="1" applyAlignment="1">
      <alignment vertical="center"/>
    </xf>
    <xf numFmtId="166" fontId="11" fillId="0" borderId="11" xfId="4" applyNumberFormat="1" applyFont="1" applyFill="1" applyBorder="1" applyAlignment="1">
      <alignment vertical="center"/>
    </xf>
    <xf numFmtId="166" fontId="5" fillId="0" borderId="17" xfId="0" applyNumberFormat="1" applyFont="1" applyBorder="1"/>
    <xf numFmtId="0" fontId="4" fillId="0" borderId="18" xfId="0" applyFont="1" applyBorder="1"/>
    <xf numFmtId="166" fontId="4" fillId="0" borderId="21" xfId="0" applyNumberFormat="1" applyFont="1" applyBorder="1"/>
    <xf numFmtId="165" fontId="5" fillId="0" borderId="0" xfId="0" applyNumberFormat="1" applyFont="1"/>
    <xf numFmtId="164" fontId="5" fillId="0" borderId="11" xfId="0" applyNumberFormat="1" applyFont="1" applyBorder="1"/>
    <xf numFmtId="0" fontId="18" fillId="0" borderId="11" xfId="0" applyFont="1" applyBorder="1"/>
    <xf numFmtId="164" fontId="18" fillId="0" borderId="11" xfId="0" applyNumberFormat="1" applyFont="1" applyBorder="1"/>
    <xf numFmtId="165" fontId="4" fillId="0" borderId="0" xfId="1" applyNumberFormat="1" applyFont="1" applyFill="1"/>
    <xf numFmtId="43" fontId="5" fillId="0" borderId="11" xfId="0" applyNumberFormat="1" applyFont="1" applyBorder="1"/>
    <xf numFmtId="167" fontId="4" fillId="0" borderId="11" xfId="4" applyNumberFormat="1" applyFont="1" applyBorder="1"/>
    <xf numFmtId="165" fontId="5" fillId="0" borderId="11" xfId="5" applyNumberFormat="1" applyFont="1" applyFill="1" applyBorder="1"/>
    <xf numFmtId="165" fontId="5" fillId="0" borderId="11" xfId="1" applyNumberFormat="1" applyFont="1" applyFill="1" applyBorder="1"/>
    <xf numFmtId="165" fontId="4" fillId="0" borderId="11" xfId="1" applyNumberFormat="1" applyFont="1" applyFill="1" applyBorder="1"/>
    <xf numFmtId="165" fontId="5" fillId="0" borderId="11" xfId="0" applyNumberFormat="1" applyFont="1" applyBorder="1"/>
    <xf numFmtId="165" fontId="4" fillId="0" borderId="11" xfId="0" applyNumberFormat="1" applyFont="1" applyBorder="1"/>
    <xf numFmtId="0" fontId="5" fillId="4" borderId="11" xfId="0" applyFont="1" applyFill="1" applyBorder="1"/>
    <xf numFmtId="0" fontId="4" fillId="4" borderId="1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4" fillId="2" borderId="16" xfId="0" applyFont="1" applyFill="1" applyBorder="1"/>
    <xf numFmtId="9" fontId="15" fillId="0" borderId="0" xfId="0" applyNumberFormat="1" applyFont="1"/>
    <xf numFmtId="0" fontId="19" fillId="0" borderId="0" xfId="0" applyFont="1"/>
    <xf numFmtId="165" fontId="0" fillId="0" borderId="0" xfId="0" applyNumberFormat="1"/>
    <xf numFmtId="9" fontId="4" fillId="0" borderId="0" xfId="1" applyNumberFormat="1" applyFont="1" applyBorder="1"/>
    <xf numFmtId="0" fontId="9" fillId="0" borderId="0" xfId="0" applyFont="1" applyAlignment="1">
      <alignment horizontal="center" vertical="center" wrapText="1"/>
    </xf>
    <xf numFmtId="166" fontId="12" fillId="0" borderId="19" xfId="4" applyNumberFormat="1" applyFont="1" applyFill="1" applyBorder="1" applyAlignment="1">
      <alignment horizontal="center" vertical="center"/>
    </xf>
    <xf numFmtId="166" fontId="12" fillId="0" borderId="20" xfId="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65" fontId="5" fillId="0" borderId="11" xfId="1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5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quotePrefix="1" applyFont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1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1" xfId="0" applyFont="1" applyBorder="1" applyAlignment="1">
      <alignment horizontal="left" wrapText="1"/>
    </xf>
    <xf numFmtId="0" fontId="5" fillId="4" borderId="0" xfId="0" applyFont="1" applyFill="1" applyAlignment="1">
      <alignment horizontal="left" vertical="top" wrapText="1"/>
    </xf>
    <xf numFmtId="0" fontId="5" fillId="4" borderId="0" xfId="0" quotePrefix="1" applyFont="1" applyFill="1" applyAlignment="1">
      <alignment horizontal="left" vertical="top" wrapText="1"/>
    </xf>
  </cellXfs>
  <cellStyles count="6">
    <cellStyle name="Collegamento ipertestuale" xfId="2" builtinId="8" hidden="1"/>
    <cellStyle name="Collegamento ipertestuale visitato" xfId="3" builtinId="9" hidden="1"/>
    <cellStyle name="Migliaia" xfId="1" builtinId="3"/>
    <cellStyle name="Normale" xfId="0" builtinId="0"/>
    <cellStyle name="Percentuale" xfId="5" builtinId="5"/>
    <cellStyle name="Valuta" xfId="4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zoomScale="160" zoomScaleNormal="160" workbookViewId="0">
      <selection sqref="A1:B1"/>
    </sheetView>
  </sheetViews>
  <sheetFormatPr baseColWidth="10" defaultColWidth="8.83203125" defaultRowHeight="14" x14ac:dyDescent="0.15"/>
  <cols>
    <col min="1" max="1" width="20" style="17" customWidth="1"/>
    <col min="2" max="2" width="41.83203125" style="17" customWidth="1"/>
    <col min="3" max="16384" width="8.83203125" style="17"/>
  </cols>
  <sheetData>
    <row r="1" spans="1:3" ht="51.75" customHeight="1" x14ac:dyDescent="0.15">
      <c r="A1" s="106" t="s">
        <v>38</v>
      </c>
      <c r="B1" s="106"/>
    </row>
    <row r="2" spans="1:3" x14ac:dyDescent="0.15">
      <c r="A2" s="29"/>
      <c r="B2" s="29"/>
      <c r="C2" s="29"/>
    </row>
    <row r="3" spans="1:3" ht="15" thickBot="1" x14ac:dyDescent="0.2">
      <c r="A3" s="29"/>
      <c r="B3" s="29"/>
      <c r="C3" s="29"/>
    </row>
    <row r="4" spans="1:3" ht="16" thickBot="1" x14ac:dyDescent="0.2">
      <c r="A4" s="25" t="s">
        <v>16</v>
      </c>
      <c r="B4" s="26"/>
      <c r="C4" s="29"/>
    </row>
    <row r="5" spans="1:3" ht="15" thickBot="1" x14ac:dyDescent="0.2">
      <c r="A5" s="30"/>
      <c r="B5" s="29"/>
      <c r="C5" s="29"/>
    </row>
    <row r="6" spans="1:3" ht="16" thickBot="1" x14ac:dyDescent="0.2">
      <c r="A6" s="25" t="s">
        <v>17</v>
      </c>
      <c r="B6" s="26"/>
      <c r="C6" s="29"/>
    </row>
    <row r="7" spans="1:3" ht="15" thickBot="1" x14ac:dyDescent="0.2">
      <c r="A7" s="30"/>
      <c r="B7" s="29"/>
      <c r="C7" s="29"/>
    </row>
    <row r="8" spans="1:3" ht="16" thickBot="1" x14ac:dyDescent="0.2">
      <c r="A8" s="25" t="s">
        <v>18</v>
      </c>
      <c r="B8" s="27"/>
      <c r="C8" s="29"/>
    </row>
    <row r="9" spans="1:3" ht="15" thickBot="1" x14ac:dyDescent="0.2">
      <c r="A9" s="30"/>
      <c r="B9" s="29"/>
      <c r="C9" s="29"/>
    </row>
    <row r="10" spans="1:3" ht="16" thickBot="1" x14ac:dyDescent="0.2">
      <c r="A10" s="25" t="s">
        <v>19</v>
      </c>
      <c r="B10" s="27"/>
      <c r="C10" s="29"/>
    </row>
    <row r="11" spans="1:3" x14ac:dyDescent="0.15">
      <c r="A11" s="29"/>
      <c r="B11" s="29"/>
      <c r="C11" s="29"/>
    </row>
    <row r="12" spans="1:3" x14ac:dyDescent="0.15">
      <c r="A12" s="29"/>
      <c r="B12" s="29"/>
      <c r="C12" s="29"/>
    </row>
  </sheetData>
  <mergeCells count="1">
    <mergeCell ref="A1:B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54"/>
  <sheetViews>
    <sheetView topLeftCell="A2" zoomScale="179" workbookViewId="0">
      <selection activeCell="A26" sqref="A26"/>
    </sheetView>
  </sheetViews>
  <sheetFormatPr baseColWidth="10" defaultColWidth="11.5" defaultRowHeight="16" x14ac:dyDescent="0.2"/>
  <cols>
    <col min="1" max="1" width="81.83203125" style="42" customWidth="1"/>
    <col min="2" max="2" width="14.5" style="42" customWidth="1"/>
    <col min="3" max="3" width="16.1640625" style="42" customWidth="1"/>
    <col min="4" max="4" width="16" style="42" customWidth="1"/>
    <col min="5" max="16384" width="11.5" style="42"/>
  </cols>
  <sheetData>
    <row r="1" spans="1:3" ht="50.25" customHeight="1" x14ac:dyDescent="0.2">
      <c r="A1" s="23" t="s">
        <v>73</v>
      </c>
      <c r="B1" s="23"/>
      <c r="C1" s="24"/>
    </row>
    <row r="3" spans="1:3" s="1" customFormat="1" ht="45" customHeight="1" x14ac:dyDescent="0.2">
      <c r="A3" s="109" t="s">
        <v>61</v>
      </c>
      <c r="B3" s="109"/>
      <c r="C3" s="109"/>
    </row>
    <row r="4" spans="1:3" s="1" customFormat="1" ht="17" x14ac:dyDescent="0.2">
      <c r="A4" s="32" t="s">
        <v>57</v>
      </c>
    </row>
    <row r="5" spans="1:3" s="1" customFormat="1" ht="17" thickBot="1" x14ac:dyDescent="0.25">
      <c r="A5" s="32"/>
    </row>
    <row r="6" spans="1:3" s="1" customFormat="1" ht="18" thickBot="1" x14ac:dyDescent="0.25">
      <c r="A6" s="33"/>
      <c r="B6" s="34" t="s">
        <v>62</v>
      </c>
      <c r="C6" s="34" t="s">
        <v>63</v>
      </c>
    </row>
    <row r="7" spans="1:3" s="1" customFormat="1" ht="17" thickBot="1" x14ac:dyDescent="0.25">
      <c r="A7" s="35" t="s">
        <v>58</v>
      </c>
      <c r="B7" s="36">
        <v>60000</v>
      </c>
      <c r="C7" s="36">
        <v>20000</v>
      </c>
    </row>
    <row r="8" spans="1:3" s="1" customFormat="1" ht="17" thickBot="1" x14ac:dyDescent="0.25">
      <c r="A8" s="35" t="s">
        <v>72</v>
      </c>
      <c r="B8" s="37">
        <v>12</v>
      </c>
      <c r="C8" s="37">
        <v>18</v>
      </c>
    </row>
    <row r="9" spans="1:3" s="1" customFormat="1" ht="17" thickBot="1" x14ac:dyDescent="0.25">
      <c r="A9" s="35" t="s">
        <v>64</v>
      </c>
      <c r="B9" s="37">
        <v>2</v>
      </c>
      <c r="C9" s="37">
        <v>4</v>
      </c>
    </row>
    <row r="10" spans="1:3" s="1" customFormat="1" ht="17" thickBot="1" x14ac:dyDescent="0.25">
      <c r="A10" s="35" t="s">
        <v>66</v>
      </c>
      <c r="B10" s="38">
        <v>0.05</v>
      </c>
      <c r="C10" s="38">
        <v>0.05</v>
      </c>
    </row>
    <row r="11" spans="1:3" s="1" customFormat="1" x14ac:dyDescent="0.2">
      <c r="A11" s="39"/>
    </row>
    <row r="12" spans="1:3" s="1" customFormat="1" ht="17" x14ac:dyDescent="0.2">
      <c r="A12" s="32" t="s">
        <v>59</v>
      </c>
      <c r="B12" s="40" t="str">
        <f>+B6</f>
        <v>Rossetti</v>
      </c>
      <c r="C12" s="40" t="str">
        <f>+C6</f>
        <v>Eyeliner</v>
      </c>
    </row>
    <row r="13" spans="1:3" s="1" customFormat="1" ht="34" x14ac:dyDescent="0.2">
      <c r="A13" s="32" t="s">
        <v>79</v>
      </c>
      <c r="B13" s="43">
        <v>75000</v>
      </c>
      <c r="C13" s="43">
        <v>75000</v>
      </c>
    </row>
    <row r="14" spans="1:3" s="1" customFormat="1" ht="34" x14ac:dyDescent="0.2">
      <c r="A14" s="32" t="s">
        <v>80</v>
      </c>
      <c r="B14" s="44">
        <v>40000</v>
      </c>
      <c r="C14" s="44">
        <v>20000</v>
      </c>
    </row>
    <row r="15" spans="1:3" s="1" customFormat="1" ht="34" x14ac:dyDescent="0.2">
      <c r="A15" s="32" t="s">
        <v>81</v>
      </c>
      <c r="B15" s="110">
        <v>425000</v>
      </c>
      <c r="C15" s="110"/>
    </row>
    <row r="16" spans="1:3" s="1" customFormat="1" x14ac:dyDescent="0.2">
      <c r="A16" s="32"/>
    </row>
    <row r="17" spans="1:4" s="1" customFormat="1" x14ac:dyDescent="0.2">
      <c r="A17" s="32"/>
    </row>
    <row r="18" spans="1:4" s="1" customFormat="1" ht="17" x14ac:dyDescent="0.2">
      <c r="A18" s="41" t="s">
        <v>60</v>
      </c>
    </row>
    <row r="19" spans="1:4" s="1" customFormat="1" ht="42.75" customHeight="1" x14ac:dyDescent="0.2">
      <c r="A19" s="109" t="s">
        <v>108</v>
      </c>
      <c r="B19" s="109"/>
      <c r="C19" s="109"/>
    </row>
    <row r="20" spans="1:4" s="1" customFormat="1" ht="6" customHeight="1" x14ac:dyDescent="0.2">
      <c r="A20" s="32"/>
    </row>
    <row r="21" spans="1:4" s="1" customFormat="1" ht="38.25" customHeight="1" x14ac:dyDescent="0.2">
      <c r="A21" s="111" t="s">
        <v>82</v>
      </c>
      <c r="B21" s="111"/>
      <c r="C21" s="111"/>
    </row>
    <row r="22" spans="1:4" s="1" customFormat="1" ht="9" customHeight="1" x14ac:dyDescent="0.2">
      <c r="A22" s="32"/>
    </row>
    <row r="23" spans="1:4" s="1" customFormat="1" ht="44.25" customHeight="1" x14ac:dyDescent="0.2">
      <c r="A23" s="109" t="s">
        <v>83</v>
      </c>
      <c r="B23" s="109"/>
      <c r="C23" s="109"/>
    </row>
    <row r="24" spans="1:4" s="1" customFormat="1" x14ac:dyDescent="0.2">
      <c r="A24" s="32"/>
    </row>
    <row r="25" spans="1:4" s="1" customFormat="1" x14ac:dyDescent="0.2"/>
    <row r="26" spans="1:4" s="1" customFormat="1" x14ac:dyDescent="0.2">
      <c r="A26" s="22" t="s">
        <v>15</v>
      </c>
    </row>
    <row r="27" spans="1:4" s="1" customFormat="1" x14ac:dyDescent="0.2"/>
    <row r="28" spans="1:4" s="1" customFormat="1" ht="17" thickBot="1" x14ac:dyDescent="0.25"/>
    <row r="29" spans="1:4" s="1" customFormat="1" ht="18" thickBot="1" x14ac:dyDescent="0.25">
      <c r="A29" s="33"/>
      <c r="B29" s="34" t="str">
        <f>+B6</f>
        <v>Rossetti</v>
      </c>
      <c r="C29" s="34" t="str">
        <f>+C6</f>
        <v>Eyeliner</v>
      </c>
    </row>
    <row r="30" spans="1:4" ht="17" thickBot="1" x14ac:dyDescent="0.25">
      <c r="A30" s="60" t="s">
        <v>110</v>
      </c>
      <c r="B30" s="61">
        <f>B7*B8</f>
        <v>720000</v>
      </c>
      <c r="C30" s="61">
        <f>C7*C8</f>
        <v>360000</v>
      </c>
      <c r="D30" s="62">
        <f>B30+C30</f>
        <v>1080000</v>
      </c>
    </row>
    <row r="31" spans="1:4" ht="17" thickBot="1" x14ac:dyDescent="0.25">
      <c r="A31" s="63" t="s">
        <v>109</v>
      </c>
      <c r="B31" s="64">
        <f>B9*B7</f>
        <v>120000</v>
      </c>
      <c r="C31" s="64">
        <f>C7*C9</f>
        <v>80000</v>
      </c>
      <c r="D31" s="62">
        <f t="shared" ref="D31:D36" si="0">B31+C31</f>
        <v>200000</v>
      </c>
    </row>
    <row r="32" spans="1:4" ht="17" thickBot="1" x14ac:dyDescent="0.25">
      <c r="A32" s="63" t="s">
        <v>111</v>
      </c>
      <c r="B32" s="64">
        <f>(B10*B8)*B7</f>
        <v>36000.000000000007</v>
      </c>
      <c r="C32" s="64">
        <f>(C10*C8)*C7</f>
        <v>18000</v>
      </c>
      <c r="D32" s="62">
        <f t="shared" si="0"/>
        <v>54000.000000000007</v>
      </c>
    </row>
    <row r="33" spans="1:4" ht="17" thickBot="1" x14ac:dyDescent="0.25">
      <c r="A33" s="80" t="s">
        <v>112</v>
      </c>
      <c r="B33" s="81">
        <f>B30-(B31+B32)</f>
        <v>564000</v>
      </c>
      <c r="C33" s="81">
        <f>C30-(C31+C32)</f>
        <v>262000</v>
      </c>
      <c r="D33" s="62">
        <f t="shared" si="0"/>
        <v>826000</v>
      </c>
    </row>
    <row r="34" spans="1:4" ht="17" thickBot="1" x14ac:dyDescent="0.25">
      <c r="A34" s="63" t="s">
        <v>113</v>
      </c>
      <c r="B34" s="82">
        <f>B14</f>
        <v>40000</v>
      </c>
      <c r="C34" s="82">
        <f>C14</f>
        <v>20000</v>
      </c>
      <c r="D34" s="62">
        <f t="shared" si="0"/>
        <v>60000</v>
      </c>
    </row>
    <row r="35" spans="1:4" ht="17" thickBot="1" x14ac:dyDescent="0.25">
      <c r="A35" s="63" t="s">
        <v>114</v>
      </c>
      <c r="B35" s="82">
        <f>B13</f>
        <v>75000</v>
      </c>
      <c r="C35" s="82">
        <f>C13</f>
        <v>75000</v>
      </c>
      <c r="D35" s="62">
        <f t="shared" si="0"/>
        <v>150000</v>
      </c>
    </row>
    <row r="36" spans="1:4" x14ac:dyDescent="0.2">
      <c r="A36" s="80" t="s">
        <v>115</v>
      </c>
      <c r="B36" s="81">
        <f>B33-(B34+B35)</f>
        <v>449000</v>
      </c>
      <c r="C36" s="81">
        <f>C33-(C34+C35)</f>
        <v>167000</v>
      </c>
      <c r="D36" s="62">
        <f t="shared" si="0"/>
        <v>616000</v>
      </c>
    </row>
    <row r="37" spans="1:4" x14ac:dyDescent="0.2">
      <c r="A37" s="63" t="s">
        <v>116</v>
      </c>
      <c r="B37" s="82"/>
      <c r="C37" s="82"/>
      <c r="D37" s="83">
        <f>B15</f>
        <v>425000</v>
      </c>
    </row>
    <row r="38" spans="1:4" ht="17" thickBot="1" x14ac:dyDescent="0.25">
      <c r="A38" s="84" t="s">
        <v>86</v>
      </c>
      <c r="B38" s="107"/>
      <c r="C38" s="108"/>
      <c r="D38" s="85">
        <f>D36-D37</f>
        <v>191000</v>
      </c>
    </row>
    <row r="39" spans="1:4" x14ac:dyDescent="0.2">
      <c r="A39" s="1"/>
      <c r="B39" s="1"/>
      <c r="C39" s="1"/>
      <c r="D39" s="1"/>
    </row>
    <row r="40" spans="1:4" ht="17" thickBot="1" x14ac:dyDescent="0.25">
      <c r="A40" s="1"/>
      <c r="B40" s="1"/>
      <c r="C40" s="1"/>
      <c r="D40" s="1"/>
    </row>
    <row r="41" spans="1:4" ht="18" thickBot="1" x14ac:dyDescent="0.25">
      <c r="A41" s="33"/>
      <c r="B41" s="34" t="str">
        <f>+B29</f>
        <v>Rossetti</v>
      </c>
      <c r="C41" s="34" t="str">
        <f>+C29</f>
        <v>Eyeliner</v>
      </c>
      <c r="D41" s="1"/>
    </row>
    <row r="42" spans="1:4" x14ac:dyDescent="0.2">
      <c r="A42" s="65" t="s">
        <v>117</v>
      </c>
      <c r="B42" s="66">
        <f>B33/B7</f>
        <v>9.4</v>
      </c>
      <c r="C42" s="66">
        <f>C33/C7</f>
        <v>13.1</v>
      </c>
      <c r="D42" s="1"/>
    </row>
    <row r="43" spans="1:4" x14ac:dyDescent="0.2">
      <c r="A43" s="79" t="s">
        <v>87</v>
      </c>
      <c r="B43" s="77">
        <f>(B34+B35)/B42</f>
        <v>12234.04255319149</v>
      </c>
      <c r="C43" s="77">
        <f>(C34+C35)/C42</f>
        <v>7251.9083969465655</v>
      </c>
      <c r="D43" s="1"/>
    </row>
    <row r="44" spans="1:4" x14ac:dyDescent="0.2">
      <c r="A44" s="67"/>
      <c r="B44" s="68"/>
      <c r="C44" s="68"/>
      <c r="D44" s="1"/>
    </row>
    <row r="45" spans="1:4" ht="17" thickBot="1" x14ac:dyDescent="0.25">
      <c r="A45" s="67"/>
      <c r="B45" s="68"/>
      <c r="C45" s="68"/>
      <c r="D45" s="1"/>
    </row>
    <row r="46" spans="1:4" ht="18" thickBot="1" x14ac:dyDescent="0.25">
      <c r="A46" s="33"/>
      <c r="B46" s="72" t="str">
        <f>+B41</f>
        <v>Rossetti</v>
      </c>
      <c r="C46" s="72" t="str">
        <f>+C41</f>
        <v>Eyeliner</v>
      </c>
      <c r="D46" s="1"/>
    </row>
    <row r="47" spans="1:4" x14ac:dyDescent="0.2">
      <c r="A47" s="69" t="s">
        <v>118</v>
      </c>
      <c r="B47" s="66">
        <f>B33/B30</f>
        <v>0.78333333333333333</v>
      </c>
      <c r="C47" s="66">
        <f>C33/C30</f>
        <v>0.72777777777777775</v>
      </c>
      <c r="D47" s="1"/>
    </row>
    <row r="48" spans="1:4" x14ac:dyDescent="0.2">
      <c r="A48" s="101" t="s">
        <v>119</v>
      </c>
      <c r="B48" s="102">
        <f>B47*0.5+C47*0.5</f>
        <v>0.75555555555555554</v>
      </c>
      <c r="C48" s="74"/>
      <c r="D48" s="1"/>
    </row>
    <row r="49" spans="1:4" x14ac:dyDescent="0.2">
      <c r="A49" s="70" t="s">
        <v>120</v>
      </c>
      <c r="B49" s="75">
        <f>180000/(1-0.4)</f>
        <v>300000</v>
      </c>
      <c r="C49" s="75"/>
      <c r="D49" s="1"/>
    </row>
    <row r="50" spans="1:4" x14ac:dyDescent="0.2">
      <c r="A50" s="70" t="s">
        <v>121</v>
      </c>
      <c r="B50" s="75">
        <f>D37+D35+D34</f>
        <v>635000</v>
      </c>
      <c r="C50" s="75"/>
      <c r="D50" s="1"/>
    </row>
    <row r="51" spans="1:4" x14ac:dyDescent="0.2">
      <c r="A51" s="101" t="s">
        <v>123</v>
      </c>
      <c r="B51" s="71">
        <f>(B50+B49)/B48</f>
        <v>1237500</v>
      </c>
      <c r="C51" s="71"/>
      <c r="D51" s="1"/>
    </row>
    <row r="52" spans="1:4" x14ac:dyDescent="0.2">
      <c r="A52" s="70" t="s">
        <v>122</v>
      </c>
      <c r="B52" s="71">
        <f>B51*0.5</f>
        <v>618750</v>
      </c>
      <c r="C52" s="71">
        <f>B51*0.5</f>
        <v>618750</v>
      </c>
      <c r="D52" s="1"/>
    </row>
    <row r="53" spans="1:4" x14ac:dyDescent="0.2">
      <c r="A53" s="76" t="s">
        <v>88</v>
      </c>
      <c r="B53" s="77">
        <f>B52/B8</f>
        <v>51562.5</v>
      </c>
      <c r="C53" s="78">
        <f>C52/C8</f>
        <v>34375</v>
      </c>
      <c r="D53" s="1"/>
    </row>
    <row r="54" spans="1:4" x14ac:dyDescent="0.2">
      <c r="D54" s="1"/>
    </row>
  </sheetData>
  <mergeCells count="6">
    <mergeCell ref="B38:C38"/>
    <mergeCell ref="A3:C3"/>
    <mergeCell ref="B15:C15"/>
    <mergeCell ref="A19:C19"/>
    <mergeCell ref="A21:C21"/>
    <mergeCell ref="A23:C23"/>
  </mergeCells>
  <pageMargins left="0.51181102362204722" right="0.51181102362204722" top="0.74803149606299213" bottom="0.74803149606299213" header="0.31496062992125984" footer="0.31496062992125984"/>
  <pageSetup paperSize="9" scale="86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54"/>
  <sheetViews>
    <sheetView topLeftCell="A26" zoomScale="125" workbookViewId="0">
      <selection activeCell="C54" sqref="C54:E54"/>
    </sheetView>
  </sheetViews>
  <sheetFormatPr baseColWidth="10" defaultColWidth="12.5" defaultRowHeight="16" x14ac:dyDescent="0.2"/>
  <cols>
    <col min="1" max="1" width="31" style="1" customWidth="1"/>
    <col min="2" max="2" width="24.33203125" style="1" customWidth="1"/>
    <col min="3" max="3" width="28.33203125" style="1" customWidth="1"/>
    <col min="4" max="4" width="26.6640625" style="1" customWidth="1"/>
    <col min="5" max="5" width="16.5" style="1" customWidth="1"/>
    <col min="6" max="6" width="9.33203125" style="1" customWidth="1"/>
    <col min="7" max="16384" width="12.5" style="1"/>
  </cols>
  <sheetData>
    <row r="1" spans="1:7" ht="33" customHeight="1" x14ac:dyDescent="0.2">
      <c r="A1" s="23" t="s">
        <v>77</v>
      </c>
      <c r="B1" s="23"/>
      <c r="C1" s="24"/>
      <c r="D1" s="24"/>
      <c r="E1" s="24"/>
      <c r="F1" s="24"/>
    </row>
    <row r="3" spans="1:7" ht="83.25" customHeight="1" x14ac:dyDescent="0.2">
      <c r="A3" s="109" t="s">
        <v>56</v>
      </c>
      <c r="B3" s="109"/>
      <c r="C3" s="109"/>
      <c r="D3" s="109"/>
      <c r="E3" s="109"/>
      <c r="F3" s="109"/>
      <c r="G3" s="13"/>
    </row>
    <row r="4" spans="1:7" ht="45.5" customHeight="1" x14ac:dyDescent="0.2">
      <c r="A4" s="109" t="s">
        <v>54</v>
      </c>
      <c r="B4" s="109"/>
      <c r="C4" s="109"/>
      <c r="D4" s="109"/>
      <c r="E4" s="109"/>
      <c r="F4" s="109"/>
    </row>
    <row r="5" spans="1:7" ht="43.25" customHeight="1" x14ac:dyDescent="0.2">
      <c r="A5" s="116" t="s">
        <v>53</v>
      </c>
      <c r="B5" s="109"/>
      <c r="C5" s="109"/>
      <c r="D5" s="109"/>
      <c r="E5" s="14">
        <v>1400000</v>
      </c>
      <c r="F5" s="1" t="s">
        <v>4</v>
      </c>
    </row>
    <row r="6" spans="1:7" ht="24" customHeight="1" x14ac:dyDescent="0.2">
      <c r="A6" s="112" t="s">
        <v>3</v>
      </c>
      <c r="B6" s="113"/>
      <c r="C6" s="113"/>
      <c r="D6" s="113"/>
      <c r="E6" s="14">
        <v>45000</v>
      </c>
      <c r="F6" s="1" t="s">
        <v>4</v>
      </c>
    </row>
    <row r="7" spans="1:7" ht="39.5" customHeight="1" x14ac:dyDescent="0.2">
      <c r="A7" s="114" t="s">
        <v>37</v>
      </c>
      <c r="B7" s="115"/>
      <c r="C7" s="115"/>
      <c r="D7" s="115"/>
      <c r="E7" s="14">
        <v>200000</v>
      </c>
      <c r="F7" s="1" t="s">
        <v>4</v>
      </c>
    </row>
    <row r="8" spans="1:7" ht="23" customHeight="1" x14ac:dyDescent="0.2">
      <c r="A8" s="112" t="s">
        <v>5</v>
      </c>
      <c r="B8" s="113"/>
      <c r="C8" s="113"/>
      <c r="D8" s="113"/>
      <c r="E8" s="14">
        <v>275000</v>
      </c>
      <c r="F8" s="1" t="s">
        <v>4</v>
      </c>
    </row>
    <row r="9" spans="1:7" ht="38" customHeight="1" x14ac:dyDescent="0.2">
      <c r="A9" s="114" t="s">
        <v>6</v>
      </c>
      <c r="B9" s="115"/>
      <c r="C9" s="115"/>
      <c r="D9" s="115"/>
      <c r="E9" s="14">
        <v>750000</v>
      </c>
      <c r="F9" s="1" t="s">
        <v>4</v>
      </c>
    </row>
    <row r="11" spans="1:7" ht="32.25" customHeight="1" x14ac:dyDescent="0.2">
      <c r="A11" s="115" t="s">
        <v>55</v>
      </c>
      <c r="B11" s="115"/>
      <c r="C11" s="115"/>
      <c r="D11" s="115"/>
      <c r="E11" s="16"/>
      <c r="F11" s="16"/>
    </row>
    <row r="12" spans="1:7" x14ac:dyDescent="0.2">
      <c r="A12" s="112" t="s">
        <v>7</v>
      </c>
      <c r="B12" s="112"/>
      <c r="C12" s="112"/>
      <c r="D12" s="15">
        <v>1250</v>
      </c>
    </row>
    <row r="13" spans="1:7" x14ac:dyDescent="0.2">
      <c r="A13" s="112" t="s">
        <v>8</v>
      </c>
      <c r="B13" s="112"/>
      <c r="C13" s="112"/>
      <c r="D13" s="15">
        <v>6250</v>
      </c>
    </row>
    <row r="14" spans="1:7" x14ac:dyDescent="0.2">
      <c r="A14" s="112" t="s">
        <v>9</v>
      </c>
      <c r="B14" s="112"/>
      <c r="C14" s="112"/>
      <c r="D14" s="15">
        <v>50</v>
      </c>
    </row>
    <row r="15" spans="1:7" x14ac:dyDescent="0.2">
      <c r="A15" s="112" t="s">
        <v>10</v>
      </c>
      <c r="B15" s="112"/>
      <c r="C15" s="112"/>
      <c r="D15" s="15">
        <v>25000</v>
      </c>
    </row>
    <row r="16" spans="1:7" x14ac:dyDescent="0.2">
      <c r="A16" s="112" t="s">
        <v>11</v>
      </c>
      <c r="B16" s="112"/>
      <c r="C16" s="112"/>
      <c r="D16" s="15">
        <v>10400</v>
      </c>
    </row>
    <row r="18" spans="1:6" ht="51" customHeight="1" x14ac:dyDescent="0.2">
      <c r="A18" s="109" t="s">
        <v>12</v>
      </c>
      <c r="B18" s="109"/>
      <c r="C18" s="109"/>
      <c r="D18" s="109"/>
      <c r="E18" s="109"/>
      <c r="F18" s="109"/>
    </row>
    <row r="19" spans="1:6" ht="36" customHeight="1" x14ac:dyDescent="0.2">
      <c r="A19" s="109" t="s">
        <v>32</v>
      </c>
      <c r="B19" s="109"/>
      <c r="C19" s="109"/>
      <c r="D19" s="109"/>
      <c r="E19" s="109"/>
      <c r="F19" s="109"/>
    </row>
    <row r="20" spans="1:6" ht="17" thickBot="1" x14ac:dyDescent="0.25"/>
    <row r="21" spans="1:6" x14ac:dyDescent="0.2">
      <c r="A21" s="18"/>
      <c r="B21" s="19"/>
      <c r="C21" s="20" t="s">
        <v>33</v>
      </c>
      <c r="D21" s="20" t="s">
        <v>34</v>
      </c>
      <c r="E21" s="21" t="s">
        <v>35</v>
      </c>
    </row>
    <row r="22" spans="1:6" x14ac:dyDescent="0.2">
      <c r="A22" s="3" t="s">
        <v>0</v>
      </c>
      <c r="C22" s="4">
        <v>8500</v>
      </c>
      <c r="D22" s="4">
        <v>3200</v>
      </c>
      <c r="E22" s="5">
        <v>2400</v>
      </c>
    </row>
    <row r="23" spans="1:6" x14ac:dyDescent="0.2">
      <c r="A23" s="6" t="s">
        <v>13</v>
      </c>
      <c r="C23" s="7">
        <v>1</v>
      </c>
      <c r="D23" s="7">
        <v>1</v>
      </c>
      <c r="E23" s="8">
        <v>1</v>
      </c>
    </row>
    <row r="24" spans="1:6" x14ac:dyDescent="0.2">
      <c r="A24" s="6" t="s">
        <v>1</v>
      </c>
      <c r="C24" s="7">
        <v>15</v>
      </c>
      <c r="D24" s="7">
        <v>7</v>
      </c>
      <c r="E24" s="8">
        <v>6</v>
      </c>
    </row>
    <row r="25" spans="1:6" x14ac:dyDescent="0.2">
      <c r="A25" s="6" t="s">
        <v>36</v>
      </c>
      <c r="C25" s="7">
        <v>1</v>
      </c>
      <c r="D25" s="7">
        <v>1</v>
      </c>
      <c r="E25" s="8">
        <v>1</v>
      </c>
    </row>
    <row r="26" spans="1:6" x14ac:dyDescent="0.2">
      <c r="A26" s="6" t="s">
        <v>14</v>
      </c>
      <c r="C26" s="7">
        <v>30</v>
      </c>
      <c r="D26" s="7">
        <v>2</v>
      </c>
      <c r="E26" s="8">
        <v>6</v>
      </c>
    </row>
    <row r="27" spans="1:6" x14ac:dyDescent="0.2">
      <c r="A27" s="6" t="s">
        <v>2</v>
      </c>
      <c r="C27" s="7">
        <v>15</v>
      </c>
      <c r="D27" s="7">
        <v>10</v>
      </c>
      <c r="E27" s="8">
        <v>5</v>
      </c>
    </row>
    <row r="28" spans="1:6" ht="3.75" customHeight="1" thickBot="1" x14ac:dyDescent="0.25">
      <c r="A28" s="9"/>
      <c r="B28" s="10"/>
      <c r="C28" s="11"/>
      <c r="D28" s="11"/>
      <c r="E28" s="12"/>
    </row>
    <row r="29" spans="1:6" x14ac:dyDescent="0.2">
      <c r="A29" s="2"/>
      <c r="C29" s="7"/>
      <c r="D29" s="7"/>
      <c r="E29" s="7"/>
    </row>
    <row r="30" spans="1:6" x14ac:dyDescent="0.2">
      <c r="A30" s="22" t="s">
        <v>15</v>
      </c>
    </row>
    <row r="33" spans="1:5" x14ac:dyDescent="0.2">
      <c r="A33" s="98"/>
      <c r="B33" s="99" t="s">
        <v>89</v>
      </c>
      <c r="C33" s="99" t="s">
        <v>90</v>
      </c>
      <c r="D33" s="99" t="s">
        <v>91</v>
      </c>
      <c r="E33" s="99" t="s">
        <v>92</v>
      </c>
    </row>
    <row r="34" spans="1:5" x14ac:dyDescent="0.2">
      <c r="A34" s="73" t="s">
        <v>125</v>
      </c>
      <c r="B34" s="44">
        <f>E5/(12+10+6)*12</f>
        <v>600000</v>
      </c>
      <c r="C34" s="44">
        <f>E5/(12+6+10)*6</f>
        <v>300000</v>
      </c>
      <c r="D34" s="44">
        <f>E5/(12+6+10)*10</f>
        <v>500000</v>
      </c>
      <c r="E34" s="44">
        <f>SUM(B34:D34)</f>
        <v>1400000</v>
      </c>
    </row>
    <row r="35" spans="1:5" x14ac:dyDescent="0.2">
      <c r="A35" s="73" t="s">
        <v>126</v>
      </c>
      <c r="B35" s="44"/>
      <c r="C35" s="44">
        <f>E6</f>
        <v>45000</v>
      </c>
      <c r="D35" s="44"/>
      <c r="E35" s="44">
        <f t="shared" ref="E35:E38" si="0">SUM(B35:D35)</f>
        <v>45000</v>
      </c>
    </row>
    <row r="36" spans="1:5" x14ac:dyDescent="0.2">
      <c r="A36" s="73" t="s">
        <v>127</v>
      </c>
      <c r="B36" s="44">
        <f>E7*0.75</f>
        <v>150000</v>
      </c>
      <c r="C36" s="44">
        <f>E7*(1-0.75)</f>
        <v>50000</v>
      </c>
      <c r="D36" s="44"/>
      <c r="E36" s="44">
        <f t="shared" si="0"/>
        <v>200000</v>
      </c>
    </row>
    <row r="37" spans="1:5" x14ac:dyDescent="0.2">
      <c r="A37" s="73" t="s">
        <v>128</v>
      </c>
      <c r="B37" s="44"/>
      <c r="C37" s="44"/>
      <c r="D37" s="44">
        <f>E8</f>
        <v>275000</v>
      </c>
      <c r="E37" s="44">
        <f t="shared" si="0"/>
        <v>275000</v>
      </c>
    </row>
    <row r="38" spans="1:5" x14ac:dyDescent="0.2">
      <c r="A38" s="73" t="s">
        <v>129</v>
      </c>
      <c r="B38" s="44">
        <f>E9*2/3</f>
        <v>500000</v>
      </c>
      <c r="C38" s="44">
        <f>(E9-B38)*0.5</f>
        <v>125000</v>
      </c>
      <c r="D38" s="44">
        <f>(E9-B38)*0.5</f>
        <v>125000</v>
      </c>
      <c r="E38" s="44">
        <f t="shared" si="0"/>
        <v>750000</v>
      </c>
    </row>
    <row r="39" spans="1:5" x14ac:dyDescent="0.2">
      <c r="A39" s="53" t="s">
        <v>93</v>
      </c>
      <c r="B39" s="54">
        <f>SUM(B34:B38)</f>
        <v>1250000</v>
      </c>
      <c r="C39" s="54">
        <f t="shared" ref="C39:D39" si="1">SUM(C34:C38)</f>
        <v>520000</v>
      </c>
      <c r="D39" s="54">
        <f t="shared" si="1"/>
        <v>900000</v>
      </c>
      <c r="E39" s="54">
        <f>B39+C39+D39</f>
        <v>2670000</v>
      </c>
    </row>
    <row r="40" spans="1:5" x14ac:dyDescent="0.2">
      <c r="B40" s="14"/>
      <c r="C40" s="14"/>
      <c r="D40" s="14"/>
      <c r="E40" s="14"/>
    </row>
    <row r="41" spans="1:5" x14ac:dyDescent="0.2">
      <c r="A41" s="1" t="s">
        <v>124</v>
      </c>
      <c r="B41" s="14" t="s">
        <v>132</v>
      </c>
      <c r="C41" s="14" t="s">
        <v>130</v>
      </c>
      <c r="D41" s="14" t="s">
        <v>131</v>
      </c>
      <c r="E41" s="14"/>
    </row>
    <row r="42" spans="1:5" x14ac:dyDescent="0.2">
      <c r="B42" s="14">
        <f>D13</f>
        <v>6250</v>
      </c>
      <c r="C42" s="14">
        <f>D16</f>
        <v>10400</v>
      </c>
      <c r="D42" s="14">
        <f>D15</f>
        <v>25000</v>
      </c>
      <c r="E42" s="14"/>
    </row>
    <row r="43" spans="1:5" x14ac:dyDescent="0.2">
      <c r="B43" s="14"/>
      <c r="C43" s="14"/>
      <c r="D43" s="14"/>
      <c r="E43" s="14"/>
    </row>
    <row r="44" spans="1:5" x14ac:dyDescent="0.2">
      <c r="A44" s="1" t="s">
        <v>133</v>
      </c>
      <c r="B44" s="86">
        <f>B39/B42</f>
        <v>200</v>
      </c>
      <c r="C44" s="86">
        <f>C39/C42</f>
        <v>50</v>
      </c>
      <c r="D44" s="86">
        <f>D39/D42</f>
        <v>36</v>
      </c>
    </row>
    <row r="47" spans="1:5" x14ac:dyDescent="0.2">
      <c r="A47" s="1" t="s">
        <v>94</v>
      </c>
    </row>
    <row r="48" spans="1:5" x14ac:dyDescent="0.2">
      <c r="A48" s="98"/>
      <c r="B48" s="98"/>
      <c r="C48" s="100" t="s">
        <v>33</v>
      </c>
      <c r="D48" s="100" t="s">
        <v>34</v>
      </c>
      <c r="E48" s="100" t="s">
        <v>35</v>
      </c>
    </row>
    <row r="49" spans="1:5" x14ac:dyDescent="0.2">
      <c r="A49" s="73" t="s">
        <v>134</v>
      </c>
      <c r="B49" s="73"/>
      <c r="C49" s="87">
        <f>C22</f>
        <v>8500</v>
      </c>
      <c r="D49" s="87">
        <f>D22</f>
        <v>3200</v>
      </c>
      <c r="E49" s="87">
        <f>E22</f>
        <v>2400</v>
      </c>
    </row>
    <row r="50" spans="1:5" x14ac:dyDescent="0.2">
      <c r="A50" s="73" t="s">
        <v>135</v>
      </c>
      <c r="B50" s="73"/>
      <c r="C50" s="44">
        <f>B44*C24</f>
        <v>3000</v>
      </c>
      <c r="D50" s="44">
        <f>B44*D24</f>
        <v>1400</v>
      </c>
      <c r="E50" s="44">
        <f>B44*E24</f>
        <v>1200</v>
      </c>
    </row>
    <row r="51" spans="1:5" x14ac:dyDescent="0.2">
      <c r="A51" s="73" t="s">
        <v>136</v>
      </c>
      <c r="B51" s="73"/>
      <c r="C51" s="44">
        <f>C44*C26</f>
        <v>1500</v>
      </c>
      <c r="D51" s="44">
        <f>C44*D26</f>
        <v>100</v>
      </c>
      <c r="E51" s="44">
        <f>C44*E26</f>
        <v>300</v>
      </c>
    </row>
    <row r="52" spans="1:5" x14ac:dyDescent="0.2">
      <c r="A52" s="73" t="s">
        <v>137</v>
      </c>
      <c r="B52" s="73"/>
      <c r="C52" s="44">
        <f>D44*C27</f>
        <v>540</v>
      </c>
      <c r="D52" s="44">
        <f>D44*D27</f>
        <v>360</v>
      </c>
      <c r="E52" s="44">
        <f>D44*E27</f>
        <v>180</v>
      </c>
    </row>
    <row r="53" spans="1:5" x14ac:dyDescent="0.2">
      <c r="A53" s="73"/>
      <c r="B53" s="73"/>
      <c r="C53" s="73"/>
      <c r="D53" s="73"/>
      <c r="E53" s="73"/>
    </row>
    <row r="54" spans="1:5" ht="18" x14ac:dyDescent="0.2">
      <c r="A54" s="88" t="s">
        <v>95</v>
      </c>
      <c r="B54" s="88"/>
      <c r="C54" s="89">
        <f>SUM(C49:C52)</f>
        <v>13540</v>
      </c>
      <c r="D54" s="89">
        <f t="shared" ref="D54:E54" si="2">SUM(D49:D52)</f>
        <v>5060</v>
      </c>
      <c r="E54" s="89">
        <f t="shared" si="2"/>
        <v>4080</v>
      </c>
    </row>
  </sheetData>
  <mergeCells count="15">
    <mergeCell ref="A3:F3"/>
    <mergeCell ref="A4:F4"/>
    <mergeCell ref="A5:D5"/>
    <mergeCell ref="A6:D6"/>
    <mergeCell ref="A7:D7"/>
    <mergeCell ref="A18:F18"/>
    <mergeCell ref="A19:F19"/>
    <mergeCell ref="A8:D8"/>
    <mergeCell ref="A9:D9"/>
    <mergeCell ref="A16:C16"/>
    <mergeCell ref="A11:D11"/>
    <mergeCell ref="A12:C12"/>
    <mergeCell ref="A13:C13"/>
    <mergeCell ref="A14:C14"/>
    <mergeCell ref="A15:C15"/>
  </mergeCells>
  <pageMargins left="0.51181102362204722" right="0.51181102362204722" top="0.74803149606299213" bottom="0.74803149606299213" header="0.31496062992125984" footer="0.31496062992125984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45"/>
  <sheetViews>
    <sheetView zoomScale="133" zoomScaleNormal="100" workbookViewId="0">
      <selection activeCell="F46" sqref="F46"/>
    </sheetView>
  </sheetViews>
  <sheetFormatPr baseColWidth="10" defaultColWidth="11.5" defaultRowHeight="15" x14ac:dyDescent="0.2"/>
  <cols>
    <col min="1" max="2" width="20.1640625" customWidth="1"/>
    <col min="3" max="3" width="11.1640625" customWidth="1"/>
    <col min="4" max="5" width="16.6640625" customWidth="1"/>
    <col min="6" max="6" width="13" customWidth="1"/>
    <col min="7" max="7" width="16.6640625" customWidth="1"/>
    <col min="8" max="9" width="20.1640625" customWidth="1"/>
    <col min="10" max="10" width="109" customWidth="1"/>
  </cols>
  <sheetData>
    <row r="1" spans="1:6" ht="42" customHeight="1" x14ac:dyDescent="0.2">
      <c r="A1" s="117" t="s">
        <v>78</v>
      </c>
      <c r="B1" s="117"/>
      <c r="C1" s="117"/>
      <c r="D1" s="117"/>
      <c r="E1" s="117"/>
      <c r="F1" s="117"/>
    </row>
    <row r="2" spans="1:6" ht="16" x14ac:dyDescent="0.2">
      <c r="A2" s="46"/>
      <c r="B2" s="1"/>
      <c r="C2" s="1"/>
      <c r="D2" s="1"/>
      <c r="E2" s="1"/>
      <c r="F2" s="1"/>
    </row>
    <row r="3" spans="1:6" ht="16" x14ac:dyDescent="0.2">
      <c r="A3" s="113" t="s">
        <v>68</v>
      </c>
      <c r="B3" s="113"/>
      <c r="C3" s="113"/>
      <c r="D3" s="113"/>
      <c r="E3" s="113"/>
      <c r="F3" s="113"/>
    </row>
    <row r="4" spans="1:6" ht="16" x14ac:dyDescent="0.2">
      <c r="A4" s="113" t="s">
        <v>26</v>
      </c>
      <c r="B4" s="113"/>
      <c r="C4" s="113"/>
      <c r="D4" s="14">
        <v>12000</v>
      </c>
      <c r="E4" s="1" t="s">
        <v>4</v>
      </c>
      <c r="F4" s="1"/>
    </row>
    <row r="5" spans="1:6" ht="16" x14ac:dyDescent="0.2">
      <c r="A5" s="113" t="s">
        <v>21</v>
      </c>
      <c r="B5" s="113"/>
      <c r="C5" s="113"/>
      <c r="D5" s="1"/>
      <c r="E5" s="1"/>
      <c r="F5" s="1"/>
    </row>
    <row r="6" spans="1:6" ht="16" x14ac:dyDescent="0.2">
      <c r="A6" s="46"/>
      <c r="B6" s="47" t="s">
        <v>22</v>
      </c>
      <c r="C6" s="48"/>
      <c r="D6" s="14">
        <v>4500</v>
      </c>
      <c r="E6" s="1" t="s">
        <v>4</v>
      </c>
      <c r="F6" s="1"/>
    </row>
    <row r="7" spans="1:6" ht="16" x14ac:dyDescent="0.2">
      <c r="A7" s="46"/>
      <c r="B7" s="47" t="s">
        <v>23</v>
      </c>
      <c r="C7" s="48"/>
      <c r="D7" s="14">
        <v>2800</v>
      </c>
      <c r="E7" s="1" t="s">
        <v>4</v>
      </c>
      <c r="F7" s="1"/>
    </row>
    <row r="8" spans="1:6" ht="16" x14ac:dyDescent="0.2">
      <c r="A8" s="46"/>
      <c r="B8" s="47" t="s">
        <v>24</v>
      </c>
      <c r="C8" s="48"/>
      <c r="D8" s="14">
        <v>730</v>
      </c>
      <c r="E8" s="1" t="s">
        <v>4</v>
      </c>
      <c r="F8" s="1"/>
    </row>
    <row r="9" spans="1:6" ht="16" x14ac:dyDescent="0.2">
      <c r="A9" s="46"/>
      <c r="B9" s="47" t="s">
        <v>25</v>
      </c>
      <c r="C9" s="48"/>
      <c r="D9" s="14">
        <v>1200</v>
      </c>
      <c r="E9" s="1" t="s">
        <v>4</v>
      </c>
      <c r="F9" s="1"/>
    </row>
    <row r="10" spans="1:6" ht="16" x14ac:dyDescent="0.2">
      <c r="A10" s="46"/>
      <c r="B10" s="1"/>
      <c r="C10" s="1"/>
      <c r="D10" s="1"/>
      <c r="E10" s="1"/>
      <c r="F10" s="1"/>
    </row>
    <row r="11" spans="1:6" ht="16" x14ac:dyDescent="0.2">
      <c r="A11" s="1" t="s">
        <v>39</v>
      </c>
      <c r="B11" s="1"/>
      <c r="C11" s="1"/>
      <c r="D11" s="1"/>
      <c r="E11" s="1"/>
      <c r="F11" s="1"/>
    </row>
    <row r="12" spans="1:6" ht="16" x14ac:dyDescent="0.2">
      <c r="A12" s="113" t="s">
        <v>30</v>
      </c>
      <c r="B12" s="113"/>
      <c r="C12" s="113"/>
      <c r="D12" s="1">
        <v>80</v>
      </c>
      <c r="E12" s="1" t="s">
        <v>31</v>
      </c>
      <c r="F12" s="1"/>
    </row>
    <row r="13" spans="1:6" ht="16" x14ac:dyDescent="0.2">
      <c r="A13" s="113" t="s">
        <v>27</v>
      </c>
      <c r="B13" s="113"/>
      <c r="C13" s="113"/>
      <c r="D13" s="14">
        <v>9500</v>
      </c>
      <c r="E13" s="1" t="s">
        <v>4</v>
      </c>
      <c r="F13" s="1"/>
    </row>
    <row r="14" spans="1:6" ht="16" x14ac:dyDescent="0.2">
      <c r="A14" s="113" t="s">
        <v>28</v>
      </c>
      <c r="B14" s="113"/>
      <c r="C14" s="113"/>
      <c r="D14" s="49">
        <v>0.06</v>
      </c>
      <c r="E14" s="1"/>
      <c r="F14" s="1"/>
    </row>
    <row r="15" spans="1:6" ht="32.25" customHeight="1" x14ac:dyDescent="0.2">
      <c r="A15" s="115" t="s">
        <v>29</v>
      </c>
      <c r="B15" s="115"/>
      <c r="C15" s="115"/>
      <c r="D15" s="14">
        <v>45000</v>
      </c>
      <c r="E15" s="1" t="s">
        <v>4</v>
      </c>
      <c r="F15" s="1"/>
    </row>
    <row r="16" spans="1:6" ht="16" x14ac:dyDescent="0.2">
      <c r="A16" s="1" t="s">
        <v>20</v>
      </c>
      <c r="B16" s="1"/>
      <c r="C16" s="1"/>
      <c r="D16" s="1"/>
      <c r="E16" s="1"/>
      <c r="F16" s="1"/>
    </row>
    <row r="17" spans="1:6" ht="16" x14ac:dyDescent="0.2">
      <c r="A17" s="46"/>
      <c r="B17" s="1"/>
      <c r="C17" s="1"/>
      <c r="D17" s="1"/>
      <c r="E17" s="1"/>
      <c r="F17" s="1"/>
    </row>
    <row r="18" spans="1:6" ht="60" customHeight="1" x14ac:dyDescent="0.2">
      <c r="A18" s="109" t="s">
        <v>67</v>
      </c>
      <c r="B18" s="109"/>
      <c r="C18" s="109"/>
      <c r="D18" s="109"/>
      <c r="E18" s="109"/>
      <c r="F18" s="109"/>
    </row>
    <row r="19" spans="1:6" ht="12.75" customHeight="1" x14ac:dyDescent="0.2">
      <c r="A19" s="46"/>
      <c r="B19" s="1"/>
      <c r="C19" s="1"/>
      <c r="D19" s="1"/>
      <c r="E19" s="1"/>
      <c r="F19" s="1"/>
    </row>
    <row r="20" spans="1:6" ht="16" x14ac:dyDescent="0.2">
      <c r="A20" s="22" t="s">
        <v>15</v>
      </c>
      <c r="B20" s="1"/>
      <c r="C20" s="1"/>
      <c r="D20" s="1"/>
      <c r="E20" s="1"/>
      <c r="F20" s="1"/>
    </row>
    <row r="21" spans="1:6" ht="16" x14ac:dyDescent="0.2">
      <c r="A21" s="46" t="s">
        <v>139</v>
      </c>
      <c r="B21" s="1"/>
      <c r="C21" s="1" t="s">
        <v>146</v>
      </c>
      <c r="D21" s="1"/>
      <c r="E21" s="1"/>
      <c r="F21" s="1"/>
    </row>
    <row r="22" spans="1:6" x14ac:dyDescent="0.2">
      <c r="A22" t="s">
        <v>140</v>
      </c>
      <c r="B22" s="104">
        <f>D13</f>
        <v>9500</v>
      </c>
    </row>
    <row r="23" spans="1:6" ht="16" x14ac:dyDescent="0.2">
      <c r="A23" s="1" t="s">
        <v>109</v>
      </c>
      <c r="B23" s="14">
        <f>D6</f>
        <v>4500</v>
      </c>
      <c r="C23" s="1"/>
    </row>
    <row r="24" spans="1:6" ht="16" x14ac:dyDescent="0.2">
      <c r="A24" s="1" t="s">
        <v>138</v>
      </c>
      <c r="B24" s="14">
        <f>D7</f>
        <v>2800</v>
      </c>
      <c r="C24" s="1"/>
      <c r="F24" s="28"/>
    </row>
    <row r="25" spans="1:6" ht="16" x14ac:dyDescent="0.2">
      <c r="A25" s="1" t="s">
        <v>141</v>
      </c>
      <c r="B25" s="14">
        <f>D8</f>
        <v>730</v>
      </c>
      <c r="C25" s="1"/>
    </row>
    <row r="26" spans="1:6" ht="16" x14ac:dyDescent="0.2">
      <c r="A26" s="1" t="s">
        <v>142</v>
      </c>
      <c r="B26" s="14">
        <f>D14*B22</f>
        <v>570</v>
      </c>
      <c r="C26" s="1"/>
    </row>
    <row r="27" spans="1:6" ht="16" x14ac:dyDescent="0.2">
      <c r="A27" s="1" t="s">
        <v>145</v>
      </c>
      <c r="B27" s="14">
        <f>SUM(B23:B26)</f>
        <v>8600</v>
      </c>
      <c r="C27" s="1"/>
    </row>
    <row r="28" spans="1:6" ht="16" x14ac:dyDescent="0.2">
      <c r="A28" s="46" t="s">
        <v>143</v>
      </c>
      <c r="B28" s="14">
        <f>B22-B27</f>
        <v>900</v>
      </c>
      <c r="C28" s="86">
        <f>B28*D12</f>
        <v>72000</v>
      </c>
    </row>
    <row r="29" spans="1:6" ht="16" x14ac:dyDescent="0.2">
      <c r="A29" s="1" t="s">
        <v>144</v>
      </c>
      <c r="C29" s="14">
        <f>D15</f>
        <v>45000</v>
      </c>
    </row>
    <row r="30" spans="1:6" ht="16" x14ac:dyDescent="0.2">
      <c r="A30" s="1"/>
      <c r="B30" s="14"/>
      <c r="C30" s="1"/>
    </row>
    <row r="31" spans="1:6" ht="16" x14ac:dyDescent="0.2">
      <c r="A31" s="1"/>
      <c r="B31" s="14"/>
      <c r="C31" s="1"/>
    </row>
    <row r="32" spans="1:6" ht="16" x14ac:dyDescent="0.2">
      <c r="A32" s="1"/>
      <c r="B32" s="14"/>
      <c r="C32" s="1"/>
    </row>
    <row r="33" spans="1:3" ht="16" x14ac:dyDescent="0.2">
      <c r="A33" s="1"/>
      <c r="B33" s="14"/>
      <c r="C33" s="1"/>
    </row>
    <row r="34" spans="1:3" ht="16" x14ac:dyDescent="0.2">
      <c r="A34" s="1"/>
      <c r="B34" s="14"/>
      <c r="C34" s="1"/>
    </row>
    <row r="35" spans="1:3" ht="16" x14ac:dyDescent="0.2">
      <c r="A35" s="1"/>
      <c r="B35" s="14"/>
      <c r="C35" s="1"/>
    </row>
    <row r="36" spans="1:3" ht="16" x14ac:dyDescent="0.2">
      <c r="A36" s="53" t="s">
        <v>96</v>
      </c>
      <c r="B36" s="95">
        <f>C28-C29</f>
        <v>27000</v>
      </c>
      <c r="C36" s="1" t="s">
        <v>147</v>
      </c>
    </row>
    <row r="37" spans="1:3" ht="16" x14ac:dyDescent="0.2">
      <c r="A37" s="46"/>
      <c r="B37" s="90"/>
      <c r="C37" s="1"/>
    </row>
    <row r="38" spans="1:3" ht="16" x14ac:dyDescent="0.2">
      <c r="A38" s="46" t="s">
        <v>148</v>
      </c>
      <c r="B38" s="90">
        <f>B36/B28</f>
        <v>30</v>
      </c>
      <c r="C38" s="1"/>
    </row>
    <row r="39" spans="1:3" ht="16" x14ac:dyDescent="0.2">
      <c r="A39" s="53" t="s">
        <v>97</v>
      </c>
      <c r="B39" s="95">
        <f>C29/(B22-B27)</f>
        <v>50</v>
      </c>
      <c r="C39" s="1"/>
    </row>
    <row r="42" spans="1:3" x14ac:dyDescent="0.2">
      <c r="A42" s="103"/>
    </row>
    <row r="43" spans="1:3" x14ac:dyDescent="0.2">
      <c r="B43" s="104"/>
    </row>
    <row r="45" spans="1:3" x14ac:dyDescent="0.2">
      <c r="B45" s="104"/>
    </row>
  </sheetData>
  <mergeCells count="9">
    <mergeCell ref="A18:F18"/>
    <mergeCell ref="A13:C13"/>
    <mergeCell ref="A15:C15"/>
    <mergeCell ref="A1:F1"/>
    <mergeCell ref="A3:F3"/>
    <mergeCell ref="A4:C4"/>
    <mergeCell ref="A5:C5"/>
    <mergeCell ref="A14:C14"/>
    <mergeCell ref="A12:C12"/>
  </mergeCells>
  <pageMargins left="0.39370078740157483" right="0.39370078740157483" top="0.39370078740157483" bottom="0.39370078740157483" header="0.31496062992125984" footer="0.31496062992125984"/>
  <pageSetup paperSize="9" scale="97" fitToHeight="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H40"/>
  <sheetViews>
    <sheetView topLeftCell="A14" zoomScale="133" workbookViewId="0">
      <selection activeCell="L41" sqref="L41"/>
    </sheetView>
  </sheetViews>
  <sheetFormatPr baseColWidth="10" defaultColWidth="8.83203125" defaultRowHeight="17.25" customHeight="1" x14ac:dyDescent="0.2"/>
  <cols>
    <col min="1" max="1" width="1.6640625" style="17" customWidth="1"/>
    <col min="2" max="2" width="46.1640625" style="17" customWidth="1"/>
    <col min="3" max="3" width="18" style="17" customWidth="1"/>
    <col min="4" max="4" width="14.33203125" style="17" customWidth="1"/>
    <col min="5" max="5" width="14.83203125" style="17" customWidth="1"/>
    <col min="6" max="6" width="12.5" style="17" customWidth="1"/>
    <col min="7" max="7" width="11.33203125" style="17" customWidth="1"/>
    <col min="8" max="8" width="8.83203125" style="31"/>
    <col min="9" max="16384" width="8.83203125" style="17"/>
  </cols>
  <sheetData>
    <row r="1" spans="2:8" ht="32.25" customHeight="1" x14ac:dyDescent="0.2">
      <c r="B1" s="117" t="s">
        <v>65</v>
      </c>
      <c r="C1" s="117"/>
      <c r="D1" s="117"/>
      <c r="E1" s="117"/>
      <c r="F1" s="117"/>
      <c r="G1" s="24"/>
      <c r="H1" s="22"/>
    </row>
    <row r="2" spans="2:8" ht="54.75" customHeight="1" x14ac:dyDescent="0.2">
      <c r="B2" s="109" t="s">
        <v>84</v>
      </c>
      <c r="C2" s="109"/>
      <c r="D2" s="109"/>
      <c r="E2" s="109"/>
      <c r="F2" s="109"/>
      <c r="G2" s="59"/>
      <c r="H2" s="22"/>
    </row>
    <row r="3" spans="2:8" ht="38.25" customHeight="1" x14ac:dyDescent="0.2">
      <c r="B3" s="109" t="s">
        <v>85</v>
      </c>
      <c r="C3" s="109"/>
      <c r="D3" s="109"/>
      <c r="E3" s="109"/>
      <c r="F3" s="109"/>
      <c r="G3" s="59"/>
      <c r="H3" s="22"/>
    </row>
    <row r="4" spans="2:8" ht="60.75" customHeight="1" x14ac:dyDescent="0.2">
      <c r="B4" s="109" t="s">
        <v>101</v>
      </c>
      <c r="C4" s="109"/>
      <c r="D4" s="109"/>
      <c r="E4" s="109"/>
      <c r="F4" s="109"/>
      <c r="G4" s="59"/>
      <c r="H4" s="22"/>
    </row>
    <row r="5" spans="2:8" ht="16" x14ac:dyDescent="0.2">
      <c r="B5" s="1" t="s">
        <v>40</v>
      </c>
      <c r="C5" s="1"/>
      <c r="D5" s="1"/>
      <c r="E5" s="1"/>
      <c r="F5" s="1"/>
      <c r="G5" s="1"/>
      <c r="H5" s="22"/>
    </row>
    <row r="6" spans="2:8" ht="16" x14ac:dyDescent="0.2">
      <c r="B6" s="120" t="s">
        <v>41</v>
      </c>
      <c r="C6" s="120"/>
      <c r="D6" s="44">
        <v>1400</v>
      </c>
      <c r="E6" s="1"/>
      <c r="F6" s="1"/>
      <c r="G6" s="1"/>
      <c r="H6" s="22"/>
    </row>
    <row r="7" spans="2:8" ht="32.25" customHeight="1" x14ac:dyDescent="0.2">
      <c r="B7" s="121" t="s">
        <v>42</v>
      </c>
      <c r="C7" s="121"/>
      <c r="D7" s="45">
        <v>0.75</v>
      </c>
      <c r="E7" s="1"/>
      <c r="F7" s="1"/>
      <c r="G7" s="1"/>
      <c r="H7" s="22"/>
    </row>
    <row r="8" spans="2:8" s="58" customFormat="1" ht="16" x14ac:dyDescent="0.2">
      <c r="B8" s="119" t="s">
        <v>74</v>
      </c>
      <c r="C8" s="119"/>
      <c r="D8" s="44">
        <v>500</v>
      </c>
      <c r="E8" s="57"/>
      <c r="F8" s="57"/>
      <c r="G8" s="57"/>
      <c r="H8" s="22"/>
    </row>
    <row r="9" spans="2:8" ht="32.25" customHeight="1" x14ac:dyDescent="0.2">
      <c r="B9" s="121" t="s">
        <v>76</v>
      </c>
      <c r="C9" s="121"/>
      <c r="D9" s="50">
        <v>2.5</v>
      </c>
      <c r="E9" s="1"/>
      <c r="F9" s="1"/>
      <c r="G9" s="1"/>
      <c r="H9" s="22"/>
    </row>
    <row r="10" spans="2:8" ht="16" x14ac:dyDescent="0.2">
      <c r="B10" s="120" t="s">
        <v>75</v>
      </c>
      <c r="C10" s="120"/>
      <c r="D10" s="50">
        <v>84</v>
      </c>
      <c r="E10" s="1"/>
      <c r="F10" s="1"/>
      <c r="G10" s="1"/>
      <c r="H10" s="22"/>
    </row>
    <row r="11" spans="2:8" ht="30" customHeight="1" x14ac:dyDescent="0.2">
      <c r="B11" s="121" t="s">
        <v>43</v>
      </c>
      <c r="C11" s="121"/>
      <c r="D11" s="51">
        <v>0.4</v>
      </c>
      <c r="E11" s="1"/>
      <c r="F11" s="1"/>
      <c r="G11" s="1"/>
      <c r="H11" s="22"/>
    </row>
    <row r="12" spans="2:8" ht="17.25" customHeight="1" x14ac:dyDescent="0.2">
      <c r="B12" s="1"/>
      <c r="C12" s="1"/>
      <c r="D12" s="1"/>
      <c r="E12" s="1"/>
      <c r="F12" s="1"/>
      <c r="G12" s="1"/>
      <c r="H12" s="22"/>
    </row>
    <row r="13" spans="2:8" ht="16" x14ac:dyDescent="0.2">
      <c r="B13" s="118" t="s">
        <v>44</v>
      </c>
      <c r="C13" s="118"/>
      <c r="D13" s="118"/>
      <c r="E13" s="118"/>
      <c r="F13" s="118"/>
      <c r="G13" s="118"/>
      <c r="H13" s="22"/>
    </row>
    <row r="14" spans="2:8" ht="16" x14ac:dyDescent="0.2">
      <c r="B14" s="1"/>
      <c r="C14" s="52" t="s">
        <v>45</v>
      </c>
      <c r="D14" s="52" t="s">
        <v>46</v>
      </c>
      <c r="E14" s="52" t="s">
        <v>47</v>
      </c>
      <c r="F14" s="52" t="s">
        <v>48</v>
      </c>
      <c r="G14" s="52" t="s">
        <v>49</v>
      </c>
      <c r="H14" s="22"/>
    </row>
    <row r="15" spans="2:8" ht="16" x14ac:dyDescent="0.2">
      <c r="B15" s="53" t="s">
        <v>50</v>
      </c>
      <c r="C15" s="54">
        <v>1500</v>
      </c>
      <c r="D15" s="54">
        <v>1200</v>
      </c>
      <c r="E15" s="54">
        <v>2200</v>
      </c>
      <c r="F15" s="54">
        <v>1800</v>
      </c>
      <c r="G15" s="54">
        <v>2500</v>
      </c>
      <c r="H15" s="22"/>
    </row>
    <row r="16" spans="2:8" ht="16" x14ac:dyDescent="0.2">
      <c r="B16" s="46"/>
      <c r="C16" s="55"/>
      <c r="D16" s="55"/>
      <c r="E16" s="55"/>
      <c r="F16" s="55"/>
      <c r="G16" s="55"/>
      <c r="H16" s="22"/>
    </row>
    <row r="17" spans="2:8" ht="16" x14ac:dyDescent="0.2">
      <c r="B17" s="118" t="s">
        <v>102</v>
      </c>
      <c r="C17" s="118"/>
      <c r="D17" s="118"/>
      <c r="E17" s="118"/>
      <c r="F17" s="118"/>
      <c r="G17" s="118"/>
      <c r="H17" s="22"/>
    </row>
    <row r="18" spans="2:8" ht="16" x14ac:dyDescent="0.2">
      <c r="B18" s="118" t="s">
        <v>103</v>
      </c>
      <c r="C18" s="118"/>
      <c r="D18" s="118"/>
      <c r="E18" s="118"/>
      <c r="F18" s="118"/>
      <c r="G18" s="118"/>
      <c r="H18" s="22"/>
    </row>
    <row r="19" spans="2:8" ht="16" x14ac:dyDescent="0.2">
      <c r="B19" s="56"/>
      <c r="C19" s="56"/>
      <c r="D19" s="56"/>
      <c r="E19" s="56"/>
      <c r="F19" s="56"/>
      <c r="G19" s="56"/>
      <c r="H19" s="22"/>
    </row>
    <row r="20" spans="2:8" ht="17.25" customHeight="1" x14ac:dyDescent="0.2">
      <c r="B20" s="1"/>
      <c r="C20" s="1"/>
      <c r="D20" s="1"/>
      <c r="E20" s="1"/>
      <c r="F20" s="1"/>
      <c r="G20" s="1"/>
      <c r="H20" s="22"/>
    </row>
    <row r="21" spans="2:8" ht="16" x14ac:dyDescent="0.2">
      <c r="B21" s="22" t="s">
        <v>15</v>
      </c>
      <c r="C21" s="1"/>
      <c r="D21" s="1"/>
      <c r="E21" s="1"/>
      <c r="F21" s="1"/>
      <c r="G21" s="1"/>
      <c r="H21" s="22"/>
    </row>
    <row r="22" spans="2:8" ht="17.25" customHeight="1" x14ac:dyDescent="0.2">
      <c r="B22" s="1"/>
      <c r="C22" s="1"/>
      <c r="D22" s="1"/>
      <c r="E22" s="1"/>
      <c r="F22" s="1"/>
      <c r="G22" s="1"/>
      <c r="H22" s="22"/>
    </row>
    <row r="23" spans="2:8" ht="17.25" customHeight="1" x14ac:dyDescent="0.2">
      <c r="B23" s="1"/>
      <c r="C23" s="52" t="s">
        <v>45</v>
      </c>
      <c r="D23" s="52" t="s">
        <v>46</v>
      </c>
      <c r="E23" s="52" t="s">
        <v>47</v>
      </c>
      <c r="F23" s="52" t="s">
        <v>48</v>
      </c>
      <c r="G23" s="52" t="s">
        <v>49</v>
      </c>
      <c r="H23" s="22"/>
    </row>
    <row r="24" spans="2:8" ht="17.25" customHeight="1" x14ac:dyDescent="0.2">
      <c r="B24" s="53" t="s">
        <v>98</v>
      </c>
      <c r="C24" s="54">
        <f>C15</f>
        <v>1500</v>
      </c>
      <c r="D24" s="54">
        <f t="shared" ref="D24:G24" si="0">D15</f>
        <v>1200</v>
      </c>
      <c r="E24" s="54">
        <f t="shared" si="0"/>
        <v>2200</v>
      </c>
      <c r="F24" s="54">
        <f t="shared" si="0"/>
        <v>1800</v>
      </c>
      <c r="G24" s="54">
        <f t="shared" si="0"/>
        <v>2500</v>
      </c>
    </row>
    <row r="25" spans="2:8" ht="17.25" customHeight="1" x14ac:dyDescent="0.2">
      <c r="B25" s="46" t="s">
        <v>149</v>
      </c>
      <c r="C25" s="105">
        <v>0.75</v>
      </c>
      <c r="D25" s="105">
        <v>0.75</v>
      </c>
      <c r="E25" s="105">
        <v>0.75</v>
      </c>
      <c r="F25" s="105">
        <v>0.75</v>
      </c>
      <c r="G25" s="105">
        <v>0.75</v>
      </c>
    </row>
    <row r="26" spans="2:8" ht="17.25" customHeight="1" x14ac:dyDescent="0.2">
      <c r="B26" s="1" t="s">
        <v>150</v>
      </c>
      <c r="C26" s="49">
        <v>0.4</v>
      </c>
      <c r="D26" s="49">
        <v>0.4</v>
      </c>
      <c r="E26" s="49">
        <v>0.4</v>
      </c>
      <c r="F26" s="49">
        <v>0.4</v>
      </c>
      <c r="G26" s="49">
        <v>0.4</v>
      </c>
    </row>
    <row r="28" spans="2:8" ht="17.25" customHeight="1" x14ac:dyDescent="0.2">
      <c r="B28" s="73" t="s">
        <v>151</v>
      </c>
      <c r="C28" s="93">
        <f>D6</f>
        <v>1400</v>
      </c>
      <c r="D28" s="44">
        <f>C30</f>
        <v>900</v>
      </c>
      <c r="E28" s="44">
        <f>D30</f>
        <v>1650</v>
      </c>
      <c r="F28" s="44">
        <f>E30</f>
        <v>1350</v>
      </c>
      <c r="G28" s="44">
        <f>F30</f>
        <v>1875</v>
      </c>
    </row>
    <row r="29" spans="2:8" ht="17.25" customHeight="1" x14ac:dyDescent="0.2">
      <c r="B29" s="73" t="s">
        <v>152</v>
      </c>
      <c r="C29" s="94">
        <v>1500</v>
      </c>
      <c r="D29" s="44">
        <f>D24</f>
        <v>1200</v>
      </c>
      <c r="E29" s="44">
        <f>E24</f>
        <v>2200</v>
      </c>
      <c r="F29" s="44">
        <f>F24</f>
        <v>1800</v>
      </c>
      <c r="G29" s="44">
        <f>G24</f>
        <v>2500</v>
      </c>
    </row>
    <row r="30" spans="2:8" ht="17.25" customHeight="1" x14ac:dyDescent="0.2">
      <c r="B30" s="73" t="s">
        <v>153</v>
      </c>
      <c r="C30" s="94">
        <f>D25*D24</f>
        <v>900</v>
      </c>
      <c r="D30" s="44">
        <f>D25*E24</f>
        <v>1650</v>
      </c>
      <c r="E30" s="44">
        <f>E25*F24</f>
        <v>1350</v>
      </c>
      <c r="F30" s="44">
        <f>F25*G24</f>
        <v>1875</v>
      </c>
      <c r="G30" s="44"/>
    </row>
    <row r="31" spans="2:8" ht="17.25" customHeight="1" x14ac:dyDescent="0.2">
      <c r="B31" s="53" t="s">
        <v>99</v>
      </c>
      <c r="C31" s="95">
        <f>C29+C30-C28</f>
        <v>1000</v>
      </c>
      <c r="D31" s="54">
        <f>D30+D29-D28</f>
        <v>1950</v>
      </c>
      <c r="E31" s="54">
        <f t="shared" ref="E31:F31" si="1">E30+E29-E28</f>
        <v>1900</v>
      </c>
      <c r="F31" s="54">
        <f t="shared" si="1"/>
        <v>2325</v>
      </c>
      <c r="G31" s="44"/>
    </row>
    <row r="32" spans="2:8" ht="17.25" customHeight="1" x14ac:dyDescent="0.2">
      <c r="B32" s="22" t="s">
        <v>154</v>
      </c>
      <c r="C32" s="1"/>
      <c r="D32" s="1"/>
      <c r="E32" s="1"/>
      <c r="F32" s="1"/>
      <c r="G32" s="1"/>
    </row>
    <row r="33" spans="2:7" ht="17.25" customHeight="1" x14ac:dyDescent="0.2">
      <c r="B33" s="73" t="s">
        <v>155</v>
      </c>
      <c r="C33" s="96">
        <f>C31</f>
        <v>1000</v>
      </c>
      <c r="D33" s="96">
        <f t="shared" ref="D33:F33" si="2">D31</f>
        <v>1950</v>
      </c>
      <c r="E33" s="96">
        <f t="shared" si="2"/>
        <v>1900</v>
      </c>
      <c r="F33" s="96">
        <f t="shared" si="2"/>
        <v>2325</v>
      </c>
      <c r="G33" s="73"/>
    </row>
    <row r="34" spans="2:7" ht="17.25" customHeight="1" x14ac:dyDescent="0.2">
      <c r="B34" s="73" t="s">
        <v>156</v>
      </c>
      <c r="C34" s="91">
        <f>D9</f>
        <v>2.5</v>
      </c>
      <c r="D34" s="91">
        <f>D9</f>
        <v>2.5</v>
      </c>
      <c r="E34" s="91">
        <f>D9</f>
        <v>2.5</v>
      </c>
      <c r="F34" s="91">
        <f>D9</f>
        <v>2.5</v>
      </c>
      <c r="G34" s="73"/>
    </row>
    <row r="35" spans="2:7" ht="17.25" customHeight="1" x14ac:dyDescent="0.2">
      <c r="B35" s="53" t="s">
        <v>157</v>
      </c>
      <c r="C35" s="97">
        <f>C33*C34</f>
        <v>2500</v>
      </c>
      <c r="D35" s="97">
        <f t="shared" ref="D35:F35" si="3">D33*D34</f>
        <v>4875</v>
      </c>
      <c r="E35" s="97">
        <f t="shared" si="3"/>
        <v>4750</v>
      </c>
      <c r="F35" s="97">
        <f t="shared" si="3"/>
        <v>5812.5</v>
      </c>
      <c r="G35" s="73"/>
    </row>
    <row r="36" spans="2:7" ht="17.25" customHeight="1" x14ac:dyDescent="0.2">
      <c r="B36" s="73" t="s">
        <v>159</v>
      </c>
      <c r="C36" s="94">
        <f>D8</f>
        <v>500</v>
      </c>
      <c r="D36" s="44">
        <f>C37</f>
        <v>1950</v>
      </c>
      <c r="E36" s="44">
        <f>D37</f>
        <v>1900</v>
      </c>
      <c r="F36" s="73"/>
      <c r="G36" s="73"/>
    </row>
    <row r="37" spans="2:7" ht="17.25" customHeight="1" x14ac:dyDescent="0.2">
      <c r="B37" s="73" t="s">
        <v>158</v>
      </c>
      <c r="C37" s="94">
        <f>D35*C26</f>
        <v>1950</v>
      </c>
      <c r="D37" s="94">
        <f>E35*D26</f>
        <v>1900</v>
      </c>
      <c r="E37" s="94">
        <f>F35*E26</f>
        <v>2325</v>
      </c>
      <c r="F37" s="73"/>
      <c r="G37" s="73"/>
    </row>
    <row r="38" spans="2:7" ht="17.25" customHeight="1" x14ac:dyDescent="0.2">
      <c r="B38" s="73" t="s">
        <v>160</v>
      </c>
      <c r="C38" s="54">
        <f>C35+C37-C36</f>
        <v>3950</v>
      </c>
      <c r="D38" s="54">
        <f t="shared" ref="D38:E38" si="4">D35+D37-D36</f>
        <v>4825</v>
      </c>
      <c r="E38" s="54">
        <f t="shared" si="4"/>
        <v>5175</v>
      </c>
      <c r="F38" s="73"/>
      <c r="G38" s="73"/>
    </row>
    <row r="39" spans="2:7" ht="17.25" customHeight="1" x14ac:dyDescent="0.2">
      <c r="B39" s="17" t="s">
        <v>161</v>
      </c>
      <c r="C39" s="91">
        <f>D10</f>
        <v>84</v>
      </c>
      <c r="D39" s="91">
        <f>D10</f>
        <v>84</v>
      </c>
      <c r="E39" s="91">
        <f>D10</f>
        <v>84</v>
      </c>
      <c r="F39" s="73"/>
      <c r="G39" s="73"/>
    </row>
    <row r="40" spans="2:7" ht="17.25" customHeight="1" x14ac:dyDescent="0.2">
      <c r="B40" s="53" t="s">
        <v>100</v>
      </c>
      <c r="C40" s="92">
        <f>C38*C39</f>
        <v>331800</v>
      </c>
      <c r="D40" s="92">
        <f t="shared" ref="D40:E40" si="5">D38*D39</f>
        <v>405300</v>
      </c>
      <c r="E40" s="92">
        <f t="shared" si="5"/>
        <v>434700</v>
      </c>
      <c r="F40" s="73"/>
      <c r="G40" s="73"/>
    </row>
  </sheetData>
  <mergeCells count="13">
    <mergeCell ref="B1:F1"/>
    <mergeCell ref="B2:F2"/>
    <mergeCell ref="B3:F3"/>
    <mergeCell ref="B4:F4"/>
    <mergeCell ref="B18:G18"/>
    <mergeCell ref="B8:C8"/>
    <mergeCell ref="B6:C6"/>
    <mergeCell ref="B7:C7"/>
    <mergeCell ref="B9:C9"/>
    <mergeCell ref="B10:C10"/>
    <mergeCell ref="B11:C11"/>
    <mergeCell ref="B13:G13"/>
    <mergeCell ref="B17:G17"/>
  </mergeCells>
  <pageMargins left="0.51181102362204722" right="0.51181102362204722" top="0.74803149606299213" bottom="0.74803149606299213" header="0.31496062992125984" footer="0.31496062992125984"/>
  <pageSetup paperSize="9" scale="78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9"/>
  <sheetViews>
    <sheetView zoomScale="150" workbookViewId="0">
      <selection activeCell="A3" sqref="A3:E3"/>
    </sheetView>
  </sheetViews>
  <sheetFormatPr baseColWidth="10" defaultColWidth="12.5" defaultRowHeight="16" x14ac:dyDescent="0.2"/>
  <cols>
    <col min="1" max="1" width="31" style="1" customWidth="1"/>
    <col min="2" max="2" width="17" style="1" customWidth="1"/>
    <col min="3" max="3" width="22.1640625" style="1" customWidth="1"/>
    <col min="4" max="4" width="18.5" style="1" customWidth="1"/>
    <col min="5" max="5" width="16.5" style="1" customWidth="1"/>
    <col min="6" max="16384" width="12.5" style="1"/>
  </cols>
  <sheetData>
    <row r="1" spans="1:6" ht="33" customHeight="1" x14ac:dyDescent="0.2">
      <c r="A1" s="23" t="s">
        <v>51</v>
      </c>
      <c r="B1" s="23"/>
      <c r="C1" s="24"/>
      <c r="D1" s="24"/>
      <c r="E1" s="24"/>
    </row>
    <row r="3" spans="1:6" ht="42.75" customHeight="1" x14ac:dyDescent="0.2">
      <c r="A3" s="111" t="s">
        <v>104</v>
      </c>
      <c r="B3" s="111"/>
      <c r="C3" s="111"/>
      <c r="D3" s="111"/>
      <c r="E3" s="111"/>
      <c r="F3" s="13"/>
    </row>
    <row r="5" spans="1:6" x14ac:dyDescent="0.2">
      <c r="A5" s="22" t="s">
        <v>52</v>
      </c>
    </row>
    <row r="6" spans="1:6" ht="209.25" customHeight="1" x14ac:dyDescent="0.2">
      <c r="A6" s="122"/>
      <c r="B6" s="122"/>
      <c r="C6" s="122"/>
      <c r="D6" s="122"/>
      <c r="E6" s="122"/>
    </row>
    <row r="9" spans="1:6" x14ac:dyDescent="0.2">
      <c r="A9" s="2"/>
      <c r="C9" s="7"/>
      <c r="D9" s="7"/>
      <c r="E9" s="7"/>
    </row>
  </sheetData>
  <mergeCells count="2">
    <mergeCell ref="A3:E3"/>
    <mergeCell ref="A6:E6"/>
  </mergeCells>
  <pageMargins left="0.70866141732283472" right="0.70866141732283472" top="0.74803149606299213" bottom="0.74803149606299213" header="0.31496062992125984" footer="0.31496062992125984"/>
  <pageSetup paperSize="9" scale="83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9"/>
  <sheetViews>
    <sheetView zoomScale="150" zoomScaleNormal="100" workbookViewId="0">
      <selection activeCell="A3" sqref="A3:E3"/>
    </sheetView>
  </sheetViews>
  <sheetFormatPr baseColWidth="10" defaultColWidth="12.5" defaultRowHeight="16" x14ac:dyDescent="0.2"/>
  <cols>
    <col min="1" max="1" width="31" style="1" customWidth="1"/>
    <col min="2" max="2" width="17" style="1" customWidth="1"/>
    <col min="3" max="3" width="22.1640625" style="1" customWidth="1"/>
    <col min="4" max="4" width="18.5" style="1" customWidth="1"/>
    <col min="5" max="5" width="16.5" style="1" customWidth="1"/>
    <col min="6" max="16384" width="12.5" style="1"/>
  </cols>
  <sheetData>
    <row r="1" spans="1:6" ht="33" customHeight="1" x14ac:dyDescent="0.2">
      <c r="A1" s="23" t="s">
        <v>69</v>
      </c>
      <c r="B1" s="23"/>
      <c r="C1" s="24"/>
      <c r="D1" s="24"/>
      <c r="E1" s="24"/>
    </row>
    <row r="3" spans="1:6" ht="42.75" customHeight="1" x14ac:dyDescent="0.2">
      <c r="A3" s="111" t="s">
        <v>105</v>
      </c>
      <c r="B3" s="111"/>
      <c r="C3" s="111"/>
      <c r="D3" s="111"/>
      <c r="E3" s="111"/>
      <c r="F3" s="13"/>
    </row>
    <row r="5" spans="1:6" x14ac:dyDescent="0.2">
      <c r="A5" s="22" t="s">
        <v>52</v>
      </c>
    </row>
    <row r="6" spans="1:6" ht="209.25" customHeight="1" x14ac:dyDescent="0.2">
      <c r="A6" s="122"/>
      <c r="B6" s="122"/>
      <c r="C6" s="122"/>
      <c r="D6" s="122"/>
      <c r="E6" s="122"/>
    </row>
    <row r="9" spans="1:6" x14ac:dyDescent="0.2">
      <c r="A9" s="2"/>
      <c r="C9" s="7"/>
      <c r="D9" s="7"/>
      <c r="E9" s="7"/>
    </row>
  </sheetData>
  <mergeCells count="2">
    <mergeCell ref="A6:E6"/>
    <mergeCell ref="A3:E3"/>
  </mergeCells>
  <pageMargins left="0.70866141732283472" right="0.70866141732283472" top="0.74803149606299213" bottom="0.74803149606299213" header="0.31496062992125984" footer="0.31496062992125984"/>
  <pageSetup paperSize="9" scale="83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9"/>
  <sheetViews>
    <sheetView workbookViewId="0">
      <selection activeCell="A3" sqref="A3:D3"/>
    </sheetView>
  </sheetViews>
  <sheetFormatPr baseColWidth="10" defaultColWidth="12.5" defaultRowHeight="16" x14ac:dyDescent="0.2"/>
  <cols>
    <col min="1" max="1" width="31" style="1" customWidth="1"/>
    <col min="2" max="2" width="17" style="1" customWidth="1"/>
    <col min="3" max="3" width="22.1640625" style="1" customWidth="1"/>
    <col min="4" max="4" width="18.5" style="1" customWidth="1"/>
    <col min="5" max="16384" width="12.5" style="1"/>
  </cols>
  <sheetData>
    <row r="1" spans="1:5" ht="33" customHeight="1" x14ac:dyDescent="0.2">
      <c r="A1" s="23" t="s">
        <v>71</v>
      </c>
      <c r="B1" s="23"/>
      <c r="C1" s="24"/>
      <c r="D1" s="24"/>
    </row>
    <row r="3" spans="1:5" ht="42.75" customHeight="1" x14ac:dyDescent="0.2">
      <c r="A3" s="111" t="s">
        <v>106</v>
      </c>
      <c r="B3" s="111"/>
      <c r="C3" s="111"/>
      <c r="D3" s="111"/>
      <c r="E3" s="13"/>
    </row>
    <row r="5" spans="1:5" x14ac:dyDescent="0.2">
      <c r="A5" s="22" t="s">
        <v>52</v>
      </c>
    </row>
    <row r="6" spans="1:5" ht="123" customHeight="1" x14ac:dyDescent="0.2">
      <c r="A6" s="123"/>
      <c r="B6" s="122"/>
      <c r="C6" s="122"/>
      <c r="D6" s="122"/>
    </row>
    <row r="9" spans="1:5" x14ac:dyDescent="0.2">
      <c r="A9" s="2"/>
      <c r="C9" s="7"/>
      <c r="D9" s="7"/>
    </row>
  </sheetData>
  <mergeCells count="2">
    <mergeCell ref="A3:D3"/>
    <mergeCell ref="A6:D6"/>
  </mergeCells>
  <pageMargins left="0.70866141732283472" right="0.70866141732283472" top="0.74803149606299213" bottom="0.74803149606299213" header="0.31496062992125984" footer="0.31496062992125984"/>
  <pageSetup paperSize="9" scale="98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9"/>
  <sheetViews>
    <sheetView tabSelected="1" zoomScale="119" workbookViewId="0">
      <selection activeCell="A3" sqref="A3:E3"/>
    </sheetView>
  </sheetViews>
  <sheetFormatPr baseColWidth="10" defaultColWidth="12.5" defaultRowHeight="16" x14ac:dyDescent="0.2"/>
  <cols>
    <col min="1" max="1" width="31" style="1" customWidth="1"/>
    <col min="2" max="2" width="17" style="1" customWidth="1"/>
    <col min="3" max="3" width="22.1640625" style="1" customWidth="1"/>
    <col min="4" max="4" width="18.5" style="1" customWidth="1"/>
    <col min="5" max="5" width="16.5" style="1" customWidth="1"/>
    <col min="6" max="16384" width="12.5" style="1"/>
  </cols>
  <sheetData>
    <row r="1" spans="1:6" ht="33" customHeight="1" x14ac:dyDescent="0.2">
      <c r="A1" s="23" t="s">
        <v>70</v>
      </c>
      <c r="B1" s="23"/>
      <c r="C1" s="24"/>
      <c r="D1" s="24"/>
      <c r="E1" s="24"/>
    </row>
    <row r="3" spans="1:6" ht="42.75" customHeight="1" x14ac:dyDescent="0.2">
      <c r="A3" s="111" t="s">
        <v>107</v>
      </c>
      <c r="B3" s="111"/>
      <c r="C3" s="111"/>
      <c r="D3" s="111"/>
      <c r="E3" s="111"/>
      <c r="F3" s="13"/>
    </row>
    <row r="5" spans="1:6" x14ac:dyDescent="0.2">
      <c r="A5" s="22" t="s">
        <v>52</v>
      </c>
    </row>
    <row r="6" spans="1:6" ht="209.25" customHeight="1" x14ac:dyDescent="0.2">
      <c r="A6" s="122"/>
      <c r="B6" s="122"/>
      <c r="C6" s="122"/>
      <c r="D6" s="122"/>
      <c r="E6" s="122"/>
    </row>
    <row r="9" spans="1:6" x14ac:dyDescent="0.2">
      <c r="A9" s="2"/>
      <c r="C9" s="7"/>
      <c r="D9" s="7"/>
      <c r="E9" s="7"/>
    </row>
  </sheetData>
  <mergeCells count="2">
    <mergeCell ref="A3:E3"/>
    <mergeCell ref="A6:E6"/>
  </mergeCells>
  <pageMargins left="0.51181102362204722" right="0.51181102362204722" top="0.74803149606299213" bottom="0.74803149606299213" header="0.31496062992125984" footer="0.31496062992125984"/>
  <pageSetup paperSize="9" scale="8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9</vt:i4>
      </vt:variant>
    </vt:vector>
  </HeadingPairs>
  <TitlesOfParts>
    <vt:vector size="18" baseType="lpstr">
      <vt:lpstr>Anagrafica</vt:lpstr>
      <vt:lpstr>esercizio 1</vt:lpstr>
      <vt:lpstr>esercizio 2</vt:lpstr>
      <vt:lpstr>esercizio 3</vt:lpstr>
      <vt:lpstr>esercizio 4</vt:lpstr>
      <vt:lpstr>domanda 1</vt:lpstr>
      <vt:lpstr>domanda 2</vt:lpstr>
      <vt:lpstr>domanda 3</vt:lpstr>
      <vt:lpstr>domanda 4</vt:lpstr>
      <vt:lpstr>Anagrafica!Area_stampa</vt:lpstr>
      <vt:lpstr>'domanda 1'!Area_stampa</vt:lpstr>
      <vt:lpstr>'domanda 2'!Area_stampa</vt:lpstr>
      <vt:lpstr>'domanda 3'!Area_stampa</vt:lpstr>
      <vt:lpstr>'domanda 4'!Area_stampa</vt:lpstr>
      <vt:lpstr>'esercizio 1'!Area_stampa</vt:lpstr>
      <vt:lpstr>'esercizio 2'!Area_stampa</vt:lpstr>
      <vt:lpstr>'esercizio 3'!Area_stampa</vt:lpstr>
      <vt:lpstr>'esercizio 4'!Area_stampa</vt:lpstr>
    </vt:vector>
  </TitlesOfParts>
  <Company>Universita' Luigi Bocconi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Default</dc:creator>
  <cp:lastModifiedBy>GIULIA DE ROSA</cp:lastModifiedBy>
  <cp:lastPrinted>2022-05-20T05:52:01Z</cp:lastPrinted>
  <dcterms:created xsi:type="dcterms:W3CDTF">2015-04-17T13:08:31Z</dcterms:created>
  <dcterms:modified xsi:type="dcterms:W3CDTF">2025-05-20T10:33:03Z</dcterms:modified>
</cp:coreProperties>
</file>