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defaultThemeVersion="166925"/>
  <mc:AlternateContent xmlns:mc="http://schemas.openxmlformats.org/markup-compatibility/2006">
    <mc:Choice Requires="x15">
      <x15ac:absPath xmlns:x15ac="http://schemas.microsoft.com/office/spreadsheetml/2010/11/ac" url="C:\Users\utente\Desktop\Bocconi 21-22\esami settembre 21-22\prove esame PC\esami PC 2021-2022\Giugno 2022\"/>
    </mc:Choice>
  </mc:AlternateContent>
  <xr:revisionPtr revIDLastSave="0" documentId="13_ncr:1_{5AB80B5B-30F4-477E-9A05-1F6E17E65701}" xr6:coauthVersionLast="47" xr6:coauthVersionMax="47" xr10:uidLastSave="{00000000-0000-0000-0000-000000000000}"/>
  <bookViews>
    <workbookView xWindow="-120" yWindow="-16320" windowWidth="29040" windowHeight="15840" firstSheet="3" activeTab="7" xr2:uid="{00000000-000D-0000-FFFF-FFFF00000000}"/>
  </bookViews>
  <sheets>
    <sheet name="Anagrafica" sheetId="1" r:id="rId1"/>
    <sheet name="Esercizio 1" sheetId="24" r:id="rId2"/>
    <sheet name="CON SOLUZ-Esercizio 1" sheetId="6" r:id="rId3"/>
    <sheet name="Esercizio 2" sheetId="25" r:id="rId4"/>
    <sheet name="CON SOLUZ-Esercizio 2" sheetId="23" r:id="rId5"/>
    <sheet name="Domanda 1" sheetId="26" r:id="rId6"/>
    <sheet name="CON SOLUZ-Domanda 1" sheetId="20" r:id="rId7"/>
    <sheet name="Domanda 2" sheetId="27" r:id="rId8"/>
    <sheet name="CON SOLUZ-Domanda 2" sheetId="21" r:id="rId9"/>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31" i="23" l="1"/>
  <c r="E30" i="23"/>
  <c r="D30" i="23"/>
  <c r="F9" i="25"/>
  <c r="E9" i="25"/>
  <c r="D9" i="25"/>
  <c r="G8" i="25"/>
  <c r="G6" i="25"/>
  <c r="F17" i="23"/>
  <c r="G8" i="23"/>
  <c r="G6" i="23"/>
  <c r="G9" i="25" l="1"/>
  <c r="G9" i="23"/>
  <c r="F23" i="23"/>
  <c r="E23" i="23"/>
  <c r="F22" i="23"/>
  <c r="E22" i="23"/>
  <c r="F19" i="23"/>
  <c r="F25" i="23" s="1"/>
  <c r="E16" i="23"/>
  <c r="E19" i="23" s="1"/>
  <c r="E25" i="23" s="1"/>
  <c r="F9" i="23"/>
  <c r="E9" i="23"/>
  <c r="D9" i="23"/>
  <c r="F22" i="6"/>
  <c r="F20" i="6"/>
  <c r="E15" i="6"/>
  <c r="E19" i="6" s="1"/>
  <c r="D15" i="6"/>
  <c r="F15" i="6" s="1"/>
  <c r="D22" i="23" l="1"/>
  <c r="D23" i="23"/>
  <c r="D24" i="23" s="1"/>
  <c r="B30" i="6"/>
  <c r="E24" i="23"/>
  <c r="E26" i="23" s="1"/>
  <c r="F24" i="23"/>
  <c r="F26" i="23" s="1"/>
  <c r="D19" i="6"/>
  <c r="F19" i="6" s="1"/>
  <c r="E16" i="6"/>
  <c r="D16" i="6"/>
  <c r="D17" i="6"/>
  <c r="E17" i="6"/>
  <c r="D18" i="6"/>
  <c r="F31" i="23" l="1"/>
  <c r="F30" i="23"/>
  <c r="D31" i="23"/>
  <c r="D26" i="23"/>
  <c r="F17" i="6"/>
  <c r="E18" i="6"/>
  <c r="E21" i="6" s="1"/>
  <c r="E23" i="6" s="1"/>
  <c r="F16" i="6"/>
  <c r="D21" i="6"/>
  <c r="B29" i="6" s="1"/>
  <c r="E32" i="23" l="1"/>
  <c r="F32" i="23"/>
  <c r="F18" i="6"/>
  <c r="F21" i="6"/>
  <c r="D23" i="6"/>
  <c r="F23" i="6" s="1"/>
  <c r="F26" i="6" s="1"/>
  <c r="D32" i="23" l="1"/>
</calcChain>
</file>

<file path=xl/sharedStrings.xml><?xml version="1.0" encoding="utf-8"?>
<sst xmlns="http://schemas.openxmlformats.org/spreadsheetml/2006/main" count="106" uniqueCount="69">
  <si>
    <t>Nome</t>
  </si>
  <si>
    <t>Cognome</t>
  </si>
  <si>
    <t>Matricola</t>
  </si>
  <si>
    <t>Classe</t>
  </si>
  <si>
    <t>TOTALE</t>
  </si>
  <si>
    <t>Home</t>
  </si>
  <si>
    <t>Professional</t>
  </si>
  <si>
    <t>Unità vendute</t>
  </si>
  <si>
    <t xml:space="preserve">  Ricavi di vendita</t>
  </si>
  <si>
    <t xml:space="preserve">  Costo del venduto</t>
  </si>
  <si>
    <t xml:space="preserve">  Provvigioni</t>
  </si>
  <si>
    <t>Margine di Contribuzione</t>
  </si>
  <si>
    <t xml:space="preserve">  Stipendio Commerciali</t>
  </si>
  <si>
    <t>Margine Controllabile</t>
  </si>
  <si>
    <t xml:space="preserve">  Formazione</t>
  </si>
  <si>
    <t>Reddito Operativo</t>
  </si>
  <si>
    <t>Risultato di segmento</t>
  </si>
  <si>
    <t xml:space="preserve">  Costi amministrativi</t>
  </si>
  <si>
    <t>Incidenza Costo del venduto sul prezzo medio</t>
  </si>
  <si>
    <t xml:space="preserve">  Pubblicità di prodotto</t>
  </si>
  <si>
    <t xml:space="preserve">  Pubblicità istituzionale</t>
  </si>
  <si>
    <t>ROS Home</t>
  </si>
  <si>
    <t>Turnover</t>
  </si>
  <si>
    <t>Costi</t>
  </si>
  <si>
    <t>% complet.</t>
  </si>
  <si>
    <t>Unità fisiche</t>
  </si>
  <si>
    <t>Costi di trasformaz.</t>
  </si>
  <si>
    <t>Totale</t>
  </si>
  <si>
    <t>WIP - Rimanenze Iniziali</t>
  </si>
  <si>
    <t>Unità avviate</t>
  </si>
  <si>
    <t>Completate e trasferite al Confez.</t>
  </si>
  <si>
    <t>WIP - Rimanenze finali</t>
  </si>
  <si>
    <t>Totale costi contabilizzati</t>
  </si>
  <si>
    <t>Esame di Programmazione &amp; Controllo - Prova Intermedia del
10 giugno 2022</t>
  </si>
  <si>
    <t>SOLUZIONE</t>
  </si>
  <si>
    <t>DOMANDA 1 (2 punti)</t>
  </si>
  <si>
    <t>Si elenchino le differenze fra i sistemi di costing su commessa e per processo</t>
  </si>
  <si>
    <t>DOMANDA 2 (2 punti)</t>
  </si>
  <si>
    <t>(Fase 1)</t>
  </si>
  <si>
    <t>Unità contabilizzate</t>
  </si>
  <si>
    <t>Costi aggiunti nel periodo</t>
  </si>
  <si>
    <t>Totale costi da contabilizzare</t>
  </si>
  <si>
    <t>Costo unitario (media ponderata)</t>
  </si>
  <si>
    <t xml:space="preserve">Completati e trasferiti </t>
  </si>
  <si>
    <t>La Hogar è un'azienda specializzata nella commercializzazione di utensili da cucina venduti da due divisioni, la Home e la Professional. Ciascuna divisione è gestita da un Direttore che ha la responsabilità del profitto della propria divisione e che di fatto gestisce in autonomia le vendite, i costi commerciali, gli acquisti e la pubblicità di prodotto. I dati consuntivi per il 2021 delle due divisioni sono i seguenti:</t>
  </si>
  <si>
    <t>DOMANDE:
Sulla base delle informazioni disponibili si predisponga un CE per area di risultato che metta in evidenza:
- il margine di contribuzione di ciascuna divisione;
- il margine controllabile dai Direttori di divisione;
- il margine di segmento;
- il reddito operativo.
Ipotizzando di dare ai Direttori di divisione anche la responsabilità sugli investimenti e sapendo che la Home nel 2021 ha utilizzato un Capitale Investito pari a 2.500.000€ a quanto ammonterebbe il ROS e il Turnover per misurare la performance del Direttore della divisione Home?</t>
  </si>
  <si>
    <t>ESERCIZIO 1 (4 punti)</t>
  </si>
  <si>
    <t>ESERCIZIO 2 (5 punti)</t>
  </si>
  <si>
    <t>UEP</t>
  </si>
  <si>
    <t xml:space="preserve">Si descrivano il metodo diretto e il metodo sequenziale nella allocazione dei costi delle unità di servizi, evidenziandone pregi e limiti. </t>
  </si>
  <si>
    <t>Prezzo medio unitario di vendita in Euro</t>
  </si>
  <si>
    <t>La Fruit produce gelatina di frutta in un impianto a flusso continuo organizzato sui due reparti di Addensamento e Confezionamento. La frutta e le altre materie prime vengono immesse nel reparto Addensamento dove avviene la pastorizzazione e l'addensamento del composto. Terminata questa fase l'output addensato viene trasferito al reparto Confezionamento per essere messo nei contenitori pronti per la vendita.
Nel reparto Addensamento le risorse sono impiegate in questo modo:
• La frutta e le altre materie prime vengono introdotte tutte all'inizio del processo di Addensamento;
• I costi di trasformazione (mod e costi indiretti inclusi) sono impiegati in modo lineare con l'avanzare dell'Addensamento.
Nella tabella seguente sono presentate le informazioni relative all’attività del reparto Addensamento nel mese di maggio 2022.</t>
  </si>
  <si>
    <t>Frutta e altre materie prime</t>
  </si>
  <si>
    <t>Flusso unità e calcolo UEP</t>
  </si>
  <si>
    <t>Frutta e MP</t>
  </si>
  <si>
    <t>Trasform.</t>
  </si>
  <si>
    <t>Unità fis.</t>
  </si>
  <si>
    <t>(Fase 2)</t>
  </si>
  <si>
    <t>Divisore UEP (Fase 4)</t>
  </si>
  <si>
    <t>DOMANDE:
Sapendo che i WIP in rimanenza a fine maggio nel reparto Addensamento sono pari a 500 unità completate all'80%, e che tutto il resto è stato trasferito al Confezionamento si calcolino:
- le UEP del reparto Addensamento;
- il costo delle unità trasferite al Confezionamento;
- il costo delle WIP in rimanenza finale in Addensamento.</t>
  </si>
  <si>
    <t xml:space="preserve">Allocazione dei costi (Fase 5) </t>
  </si>
  <si>
    <t>Semilavorati, fine maggio</t>
  </si>
  <si>
    <t>Semilavorati, inizio maggio (Fase 3)</t>
  </si>
  <si>
    <t>Nel corso del 2021 l'azienda ha organizzato una campagna pubblicitaria sul brand aziendale per 150.000€ mentre ciascun Direttore di divisione ha investito il 12% del fatturato della propria divisione in pubblicità sui prodotti. Lo stipendio dei commerciali di divisione è stato pari a 80.000€ per Home e 120.000€ per Professional. I costi amministrativi erano stati pari a 145.000€ mentre il responsabile della formazione, che è un centro di costo aziendale, ha imposto ai 2 direttori di divisione l'erogazione di un corso di formazione per il personale di divisone pari 50.000€ per Home e 38.000€ per Professional. Ai commerciali è stata inoltre riconosciuta una provvigone del 10%.</t>
  </si>
  <si>
    <t>Calcolo costo per UEP</t>
  </si>
  <si>
    <r>
      <t xml:space="preserve">Il metodo diretto alloca i costi delle unità di servizi solo ai reparti produttivi </t>
    </r>
    <r>
      <rPr>
        <sz val="12"/>
        <color rgb="FFFF0000"/>
        <rFont val="Arial"/>
        <family val="2"/>
      </rPr>
      <t xml:space="preserve"> </t>
    </r>
    <r>
      <rPr>
        <sz val="12"/>
        <color theme="1"/>
        <rFont val="Arial"/>
        <family val="2"/>
      </rPr>
      <t xml:space="preserve">                                                             Semplice, ma trascura i rapporti tra unità di servizi</t>
    </r>
  </si>
  <si>
    <r>
      <t xml:space="preserve">Il metodo sequenziale valorizza gli interscambi di servizi tra Centri di Servizio.
Occorre selezionare la sequenza in base alla quale ordinare gli scambi da valorizzare.
La sequenza è definita partendo dai centri progressivamente più rilevanti (in termini di entità dei servizi scambiati e/o di valore di costo del centro di servizio). </t>
    </r>
    <r>
      <rPr>
        <sz val="12"/>
        <color theme="1"/>
        <rFont val="Arial"/>
        <family val="2"/>
      </rPr>
      <t xml:space="preserve">                                                                                                                         Considera gli scambi e le allocazioni di costi tra le unità di servizi, ma solo in logica unidirezionale </t>
    </r>
  </si>
  <si>
    <r>
      <t xml:space="preserve">Su commessa </t>
    </r>
    <r>
      <rPr>
        <sz val="12"/>
        <color theme="1"/>
        <rFont val="Arial"/>
        <family val="2"/>
      </rPr>
      <t xml:space="preserve">
Si lavorano molte commesse durante il periodo.
I costi vengono accumulati per singole commesse.
La scheda dei costi per commessa è il documento principale.
Il costo unitario è calcolato per commessa. 
Per processo </t>
    </r>
    <r>
      <rPr>
        <sz val="12"/>
        <color theme="1"/>
        <rFont val="Arial"/>
        <family val="2"/>
      </rPr>
      <t xml:space="preserve">
Viene realizzato un unico tipo di prodotto per un lungo periodo.
I costi vengono accumulati per reparto. 
Il report sulla produzione del reparto è il documento principale. 
I costi unitari vengono calcolati per reparto.
</t>
    </r>
  </si>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</sst>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0\ &quot;€&quot;"/>
    <numFmt numFmtId="166" formatCode="#,##0\ _€"/>
    <numFmt numFmtId="167" formatCode="_-* #,##0_-;\-* #,##0_-;_-* &quot;-&quot;??_-;_-@_-"/>
    <numFmt numFmtId="168" formatCode="#,##0_ ;\-#,##0\ "/>
  </numFmts>
  <fonts count="14" x14ac:knownFonts="1">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2"/>
      <color theme="1"/>
      <name val="Arial"/>
      <family val="2"/>
    </font>
    <font>
      <sz val="12"/>
      <color theme="1"/>
      <name val="Arial"/>
      <family val="2"/>
    </font>
    <font>
      <b/>
      <sz val="12"/>
      <name val="Arial"/>
      <family val="2"/>
    </font>
    <font>
      <sz val="12"/>
      <color rgb="FF000000"/>
      <name val="Arial"/>
      <family val="2"/>
    </font>
    <font>
      <b/>
      <sz val="12"/>
      <color rgb="FFFF0000"/>
      <name val="Arial"/>
      <family val="2"/>
    </font>
    <font>
      <sz val="12"/>
      <color rgb="FFFF0000"/>
      <name val="Arial"/>
      <family val="2"/>
    </font>
    <font>
      <b/>
      <i/>
      <sz val="12"/>
      <color theme="1"/>
      <name val="Arial"/>
      <family val="2"/>
    </font>
    <font>
      <sz val="12"/>
      <name val="Arial"/>
      <family val="2"/>
    </font>
    <font>
      <u/>
      <sz val="12"/>
      <color theme="1"/>
      <name val="Arial"/>
      <family val="2"/>
    </font>
    <font>
      <b/>
      <i/>
      <sz val="11"/>
      <color theme="1"/>
      <name val="Arial"/>
      <family val="2"/>
    </font>
  </fonts>
  <fills count="4">
    <fill>
      <patternFill patternType="none"/>
    </fill>
    <fill>
      <patternFill patternType="gray125"/>
    </fill>
    <fill>
      <patternFill patternType="solid">
        <fgColor rgb="FFFFFF99"/>
        <bgColor indexed="64"/>
      </patternFill>
    </fill>
    <fill>
      <patternFill patternType="solid">
        <fgColor theme="0" tint="-4.9989318521683403E-2"/>
        <bgColor indexed="64"/>
      </patternFill>
    </fill>
  </fills>
  <borders count="2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22">
    <xf numFmtId="0" fontId="0" fillId="0" borderId="0" xfId="0"/>
    <xf numFmtId="0" fontId="2" fillId="0" borderId="0" xfId="0" applyFont="1"/>
    <xf numFmtId="0" fontId="3" fillId="0" borderId="0" xfId="0" applyFont="1"/>
    <xf numFmtId="0" fontId="5" fillId="0" borderId="0" xfId="0" applyFont="1"/>
    <xf numFmtId="0" fontId="5" fillId="0" borderId="0" xfId="0" applyFont="1" applyAlignment="1">
      <alignment vertical="center"/>
    </xf>
    <xf numFmtId="0" fontId="4" fillId="0" borderId="3" xfId="0" applyFont="1" applyBorder="1" applyAlignment="1">
      <alignment horizontal="center" vertical="center"/>
    </xf>
    <xf numFmtId="0" fontId="5" fillId="0" borderId="0" xfId="0" applyFont="1" applyAlignment="1">
      <alignment horizontal="left"/>
    </xf>
    <xf numFmtId="37" fontId="5" fillId="0" borderId="0" xfId="1" applyNumberFormat="1" applyFont="1" applyAlignment="1">
      <alignment horizontal="right"/>
    </xf>
    <xf numFmtId="0" fontId="5" fillId="0" borderId="23" xfId="0" applyFont="1" applyBorder="1"/>
    <xf numFmtId="0" fontId="5" fillId="0" borderId="24" xfId="0" applyFont="1" applyBorder="1"/>
    <xf numFmtId="37" fontId="5" fillId="0" borderId="24" xfId="1" applyNumberFormat="1" applyFont="1" applyBorder="1" applyAlignment="1">
      <alignment horizontal="right"/>
    </xf>
    <xf numFmtId="37" fontId="5" fillId="0" borderId="14" xfId="1" applyNumberFormat="1" applyFont="1" applyBorder="1" applyAlignment="1">
      <alignment horizontal="right"/>
    </xf>
    <xf numFmtId="37" fontId="5" fillId="0" borderId="14" xfId="0" applyNumberFormat="1" applyFont="1" applyBorder="1"/>
    <xf numFmtId="37" fontId="5" fillId="0" borderId="18" xfId="1" applyNumberFormat="1" applyFont="1" applyBorder="1" applyAlignment="1">
      <alignment horizontal="right"/>
    </xf>
    <xf numFmtId="37" fontId="5" fillId="0" borderId="18" xfId="0" applyNumberFormat="1" applyFont="1" applyBorder="1"/>
    <xf numFmtId="37" fontId="5" fillId="0" borderId="3" xfId="1" applyNumberFormat="1" applyFont="1" applyBorder="1" applyAlignment="1">
      <alignment horizontal="right"/>
    </xf>
    <xf numFmtId="0" fontId="5" fillId="0" borderId="12" xfId="0" applyFont="1" applyBorder="1"/>
    <xf numFmtId="0" fontId="5" fillId="0" borderId="15" xfId="0" applyFont="1" applyBorder="1"/>
    <xf numFmtId="0" fontId="5" fillId="0" borderId="13" xfId="0" applyFont="1" applyBorder="1"/>
    <xf numFmtId="0" fontId="5" fillId="0" borderId="16" xfId="0" applyFont="1" applyBorder="1"/>
    <xf numFmtId="0" fontId="5" fillId="0" borderId="17" xfId="0" applyFont="1" applyBorder="1"/>
    <xf numFmtId="0" fontId="5" fillId="0" borderId="19" xfId="0" applyFont="1" applyBorder="1"/>
    <xf numFmtId="0" fontId="5" fillId="0" borderId="22" xfId="0" applyFont="1" applyBorder="1"/>
    <xf numFmtId="0" fontId="5" fillId="0" borderId="20" xfId="0" applyFont="1" applyBorder="1"/>
    <xf numFmtId="37" fontId="5" fillId="0" borderId="0" xfId="1" applyNumberFormat="1" applyFont="1" applyBorder="1" applyAlignment="1">
      <alignment horizontal="right"/>
    </xf>
    <xf numFmtId="37" fontId="5" fillId="0" borderId="21" xfId="1" applyNumberFormat="1" applyFont="1" applyBorder="1" applyAlignment="1">
      <alignment horizontal="right"/>
    </xf>
    <xf numFmtId="0" fontId="5" fillId="0" borderId="25" xfId="0" applyFont="1" applyBorder="1"/>
    <xf numFmtId="10" fontId="5" fillId="0" borderId="0" xfId="4" applyNumberFormat="1" applyFont="1"/>
    <xf numFmtId="2" fontId="5" fillId="0" borderId="0" xfId="0" applyNumberFormat="1" applyFont="1"/>
    <xf numFmtId="0" fontId="8" fillId="0" borderId="0" xfId="0" applyFont="1"/>
    <xf numFmtId="0" fontId="3" fillId="2" borderId="1" xfId="0" applyFont="1" applyFill="1" applyBorder="1" applyAlignment="1">
      <alignment vertical="top" wrapText="1"/>
    </xf>
    <xf numFmtId="0" fontId="2" fillId="3" borderId="2" xfId="0" applyFont="1" applyFill="1" applyBorder="1" applyAlignment="1">
      <alignment vertical="top" wrapText="1"/>
    </xf>
    <xf numFmtId="0" fontId="2" fillId="3" borderId="2" xfId="0" applyFont="1" applyFill="1" applyBorder="1" applyAlignment="1">
      <alignment horizontal="left" vertical="top" wrapText="1"/>
    </xf>
    <xf numFmtId="0" fontId="4" fillId="0" borderId="0" xfId="0" applyFont="1" applyAlignment="1">
      <alignment vertical="center"/>
    </xf>
    <xf numFmtId="0" fontId="4" fillId="0" borderId="16" xfId="0" applyFont="1" applyBorder="1" applyAlignment="1">
      <alignment vertical="center"/>
    </xf>
    <xf numFmtId="0" fontId="5" fillId="0" borderId="12" xfId="0" applyFont="1" applyBorder="1" applyAlignment="1">
      <alignment horizontal="left" vertical="center"/>
    </xf>
    <xf numFmtId="3" fontId="5" fillId="0" borderId="15" xfId="0" applyNumberFormat="1" applyFont="1" applyBorder="1" applyAlignment="1">
      <alignment horizontal="left" vertical="center"/>
    </xf>
    <xf numFmtId="165" fontId="5" fillId="0" borderId="13" xfId="0" applyNumberFormat="1" applyFont="1" applyBorder="1" applyAlignment="1">
      <alignment horizontal="left" vertical="center"/>
    </xf>
    <xf numFmtId="1" fontId="5" fillId="0" borderId="14" xfId="0" applyNumberFormat="1" applyFont="1" applyBorder="1" applyAlignment="1">
      <alignment vertical="center"/>
    </xf>
    <xf numFmtId="1" fontId="5" fillId="0" borderId="13" xfId="0" quotePrefix="1" applyNumberFormat="1" applyFont="1" applyBorder="1" applyAlignment="1">
      <alignment vertical="center"/>
    </xf>
    <xf numFmtId="165" fontId="5" fillId="0" borderId="16" xfId="0" applyNumberFormat="1" applyFont="1" applyBorder="1" applyAlignment="1">
      <alignment vertical="center"/>
    </xf>
    <xf numFmtId="0" fontId="5" fillId="0" borderId="16" xfId="0" applyFont="1" applyBorder="1" applyAlignment="1">
      <alignment horizontal="left" vertical="center"/>
    </xf>
    <xf numFmtId="3" fontId="5" fillId="0" borderId="0" xfId="0" applyNumberFormat="1" applyFont="1" applyAlignment="1">
      <alignment horizontal="left" vertical="center"/>
    </xf>
    <xf numFmtId="165" fontId="5" fillId="0" borderId="17" xfId="0" applyNumberFormat="1" applyFont="1" applyBorder="1" applyAlignment="1">
      <alignment horizontal="left" vertical="center"/>
    </xf>
    <xf numFmtId="166" fontId="5" fillId="0" borderId="18" xfId="0" applyNumberFormat="1" applyFont="1" applyBorder="1" applyAlignment="1">
      <alignment vertical="center"/>
    </xf>
    <xf numFmtId="166" fontId="5" fillId="0" borderId="17" xfId="0" quotePrefix="1" applyNumberFormat="1" applyFont="1" applyBorder="1" applyAlignment="1">
      <alignment vertical="center"/>
    </xf>
    <xf numFmtId="166" fontId="5" fillId="0" borderId="16" xfId="0" applyNumberFormat="1" applyFont="1" applyBorder="1" applyAlignment="1">
      <alignment vertical="center"/>
    </xf>
    <xf numFmtId="0" fontId="5" fillId="0" borderId="19" xfId="0" applyFont="1" applyBorder="1" applyAlignment="1">
      <alignment horizontal="left" vertical="center"/>
    </xf>
    <xf numFmtId="3" fontId="5" fillId="0" borderId="22" xfId="0" applyNumberFormat="1" applyFont="1" applyBorder="1" applyAlignment="1">
      <alignment horizontal="left" vertical="center"/>
    </xf>
    <xf numFmtId="165" fontId="5" fillId="0" borderId="20" xfId="0" applyNumberFormat="1" applyFont="1" applyBorder="1" applyAlignment="1">
      <alignment horizontal="left" vertical="center"/>
    </xf>
    <xf numFmtId="9" fontId="5" fillId="0" borderId="21" xfId="4" applyFont="1" applyFill="1" applyBorder="1" applyAlignment="1">
      <alignment vertical="center"/>
    </xf>
    <xf numFmtId="9" fontId="5" fillId="0" borderId="20" xfId="4" applyFont="1" applyFill="1" applyBorder="1" applyAlignment="1">
      <alignment vertical="center"/>
    </xf>
    <xf numFmtId="0" fontId="5" fillId="0" borderId="0" xfId="0" applyFont="1" applyAlignment="1">
      <alignment horizontal="justify" vertical="center"/>
    </xf>
    <xf numFmtId="3" fontId="5" fillId="0" borderId="0" xfId="0" applyNumberFormat="1" applyFont="1" applyAlignment="1">
      <alignment horizontal="right" vertical="center"/>
    </xf>
    <xf numFmtId="165" fontId="5" fillId="0" borderId="0" xfId="0" applyNumberFormat="1" applyFont="1" applyAlignment="1">
      <alignment vertical="center"/>
    </xf>
    <xf numFmtId="165" fontId="5" fillId="0" borderId="0" xfId="0" applyNumberFormat="1" applyFont="1" applyAlignment="1">
      <alignment horizontal="center" vertical="center"/>
    </xf>
    <xf numFmtId="165" fontId="5" fillId="0" borderId="0" xfId="0" quotePrefix="1" applyNumberFormat="1" applyFont="1" applyAlignment="1">
      <alignment horizontal="center" vertical="center"/>
    </xf>
    <xf numFmtId="0" fontId="4" fillId="0" borderId="0" xfId="0" applyFont="1"/>
    <xf numFmtId="0" fontId="5" fillId="0" borderId="14" xfId="0" applyFont="1" applyBorder="1" applyAlignment="1">
      <alignment vertical="center"/>
    </xf>
    <xf numFmtId="0" fontId="10" fillId="0" borderId="0" xfId="0" applyFont="1" applyAlignment="1">
      <alignment vertical="center"/>
    </xf>
    <xf numFmtId="0" fontId="5" fillId="0" borderId="21" xfId="0" applyFont="1" applyBorder="1" applyAlignment="1">
      <alignment vertical="center"/>
    </xf>
    <xf numFmtId="0" fontId="5" fillId="0" borderId="3" xfId="0" applyFont="1" applyBorder="1" applyAlignment="1">
      <alignment vertical="center"/>
    </xf>
    <xf numFmtId="9" fontId="5" fillId="0" borderId="3" xfId="0" applyNumberFormat="1" applyFont="1" applyBorder="1" applyAlignment="1">
      <alignment horizontal="center" vertical="center"/>
    </xf>
    <xf numFmtId="3" fontId="5" fillId="0" borderId="3" xfId="0" applyNumberFormat="1" applyFont="1" applyBorder="1" applyAlignment="1">
      <alignment vertical="center"/>
    </xf>
    <xf numFmtId="165" fontId="5" fillId="0" borderId="3" xfId="0" applyNumberFormat="1" applyFont="1" applyBorder="1" applyAlignment="1">
      <alignment vertical="center"/>
    </xf>
    <xf numFmtId="0" fontId="5" fillId="0" borderId="0" xfId="2" applyNumberFormat="1" applyFont="1" applyAlignment="1">
      <alignment vertical="center"/>
    </xf>
    <xf numFmtId="0" fontId="5" fillId="0" borderId="3" xfId="0" applyFont="1" applyBorder="1" applyAlignment="1">
      <alignment horizontal="center" vertical="center"/>
    </xf>
    <xf numFmtId="0" fontId="5" fillId="0" borderId="0" xfId="4" applyNumberFormat="1" applyFont="1" applyAlignment="1">
      <alignment vertical="center"/>
    </xf>
    <xf numFmtId="0" fontId="4" fillId="0" borderId="3" xfId="0" applyFont="1" applyBorder="1" applyAlignment="1">
      <alignment vertical="center"/>
    </xf>
    <xf numFmtId="3" fontId="4" fillId="0" borderId="3" xfId="0" applyNumberFormat="1" applyFont="1" applyBorder="1" applyAlignment="1">
      <alignment vertical="center"/>
    </xf>
    <xf numFmtId="165" fontId="4" fillId="0" borderId="3" xfId="0" applyNumberFormat="1" applyFont="1" applyBorder="1" applyAlignment="1">
      <alignment vertical="center"/>
    </xf>
    <xf numFmtId="0" fontId="5" fillId="0" borderId="0" xfId="0" applyFont="1" applyAlignment="1">
      <alignment horizontal="center" vertical="center"/>
    </xf>
    <xf numFmtId="3" fontId="4" fillId="0" borderId="0" xfId="0" applyNumberFormat="1" applyFont="1" applyAlignment="1">
      <alignment vertical="center"/>
    </xf>
    <xf numFmtId="0" fontId="5" fillId="0" borderId="5" xfId="0" applyFont="1" applyBorder="1" applyAlignment="1">
      <alignment vertical="center"/>
    </xf>
    <xf numFmtId="0" fontId="5" fillId="0" borderId="7" xfId="0" applyFont="1" applyBorder="1" applyAlignment="1">
      <alignment vertical="center"/>
    </xf>
    <xf numFmtId="9" fontId="5" fillId="0" borderId="0" xfId="0" applyNumberFormat="1" applyFont="1" applyAlignment="1">
      <alignment horizontal="center" vertical="center"/>
    </xf>
    <xf numFmtId="0" fontId="5" fillId="0" borderId="9" xfId="0" applyFont="1" applyBorder="1" applyAlignment="1">
      <alignment vertical="center"/>
    </xf>
    <xf numFmtId="0" fontId="5" fillId="0" borderId="10" xfId="0" applyFont="1" applyBorder="1" applyAlignment="1">
      <alignment horizontal="center" vertical="center"/>
    </xf>
    <xf numFmtId="0" fontId="5" fillId="0" borderId="10" xfId="0" applyFont="1" applyBorder="1" applyAlignment="1">
      <alignment vertical="center"/>
    </xf>
    <xf numFmtId="168" fontId="5" fillId="0" borderId="0" xfId="2" applyNumberFormat="1" applyFont="1" applyBorder="1" applyAlignment="1">
      <alignment horizontal="center" vertical="center"/>
    </xf>
    <xf numFmtId="3" fontId="5" fillId="0" borderId="0" xfId="0" applyNumberFormat="1" applyFont="1" applyAlignment="1">
      <alignment vertical="center"/>
    </xf>
    <xf numFmtId="0" fontId="8" fillId="0" borderId="0" xfId="0" applyFont="1" applyAlignment="1">
      <alignment vertical="center"/>
    </xf>
    <xf numFmtId="167" fontId="5" fillId="0" borderId="10" xfId="2" applyNumberFormat="1" applyFont="1" applyBorder="1" applyAlignment="1">
      <alignment horizontal="center" vertical="center"/>
    </xf>
    <xf numFmtId="167" fontId="5" fillId="0" borderId="0" xfId="2" applyNumberFormat="1" applyFont="1" applyAlignment="1">
      <alignment horizontal="center" vertical="center"/>
    </xf>
    <xf numFmtId="0" fontId="5" fillId="0" borderId="5" xfId="0" applyFont="1" applyBorder="1" applyAlignment="1">
      <alignment horizontal="center" vertical="center"/>
    </xf>
    <xf numFmtId="0" fontId="3" fillId="0" borderId="21" xfId="0" applyFont="1" applyBorder="1" applyAlignment="1">
      <alignment horizontal="center" vertical="center" wrapText="1"/>
    </xf>
    <xf numFmtId="0" fontId="3" fillId="0" borderId="3" xfId="0" applyFont="1" applyBorder="1" applyAlignment="1">
      <alignment horizontal="center" vertical="center" wrapText="1"/>
    </xf>
    <xf numFmtId="1" fontId="5" fillId="0" borderId="0" xfId="0" applyNumberFormat="1" applyFont="1" applyAlignment="1">
      <alignment vertical="center"/>
    </xf>
    <xf numFmtId="1" fontId="5" fillId="0" borderId="0" xfId="1" applyNumberFormat="1" applyFont="1" applyAlignment="1">
      <alignment vertical="center"/>
    </xf>
    <xf numFmtId="1" fontId="5" fillId="0" borderId="10" xfId="0" applyNumberFormat="1" applyFont="1" applyBorder="1" applyAlignment="1">
      <alignment vertical="center"/>
    </xf>
    <xf numFmtId="1" fontId="5" fillId="0" borderId="8" xfId="1" applyNumberFormat="1" applyFont="1" applyBorder="1" applyAlignment="1">
      <alignment vertical="center"/>
    </xf>
    <xf numFmtId="1" fontId="5" fillId="0" borderId="8" xfId="0" applyNumberFormat="1" applyFont="1" applyBorder="1" applyAlignment="1">
      <alignment vertical="center"/>
    </xf>
    <xf numFmtId="1" fontId="5" fillId="0" borderId="11" xfId="0" applyNumberFormat="1" applyFont="1" applyBorder="1" applyAlignment="1">
      <alignment vertical="center"/>
    </xf>
    <xf numFmtId="0" fontId="12" fillId="0" borderId="4" xfId="0" applyFont="1" applyBorder="1" applyAlignment="1">
      <alignment vertical="center"/>
    </xf>
    <xf numFmtId="0" fontId="5" fillId="0" borderId="6" xfId="0" applyFont="1" applyBorder="1" applyAlignment="1">
      <alignment horizontal="center" vertical="center"/>
    </xf>
    <xf numFmtId="167" fontId="5" fillId="0" borderId="5" xfId="0" applyNumberFormat="1" applyFont="1" applyBorder="1" applyAlignment="1">
      <alignment horizontal="center" vertical="center"/>
    </xf>
    <xf numFmtId="0" fontId="9" fillId="0" borderId="0" xfId="0" applyFont="1" applyAlignment="1">
      <alignment vertical="center"/>
    </xf>
    <xf numFmtId="0" fontId="3" fillId="0" borderId="14" xfId="0" applyFont="1" applyBorder="1" applyAlignment="1">
      <alignment vertical="center" wrapText="1"/>
    </xf>
    <xf numFmtId="0" fontId="2" fillId="0" borderId="0" xfId="0" applyFont="1" applyAlignment="1">
      <alignment vertical="center"/>
    </xf>
    <xf numFmtId="3" fontId="5" fillId="0" borderId="8" xfId="0" applyNumberFormat="1" applyFont="1" applyBorder="1" applyAlignment="1">
      <alignment vertical="center"/>
    </xf>
    <xf numFmtId="0" fontId="5" fillId="0" borderId="26" xfId="0" applyFont="1" applyBorder="1" applyAlignment="1">
      <alignment vertical="center"/>
    </xf>
    <xf numFmtId="168" fontId="5" fillId="0" borderId="27" xfId="2" applyNumberFormat="1" applyFont="1" applyBorder="1" applyAlignment="1">
      <alignment horizontal="center" vertical="center"/>
    </xf>
    <xf numFmtId="0" fontId="5" fillId="0" borderId="27" xfId="0" applyFont="1" applyBorder="1" applyAlignment="1">
      <alignment vertical="center"/>
    </xf>
    <xf numFmtId="3" fontId="5" fillId="0" borderId="27" xfId="0" applyNumberFormat="1" applyFont="1" applyBorder="1" applyAlignment="1">
      <alignment vertical="center"/>
    </xf>
    <xf numFmtId="3" fontId="5" fillId="0" borderId="2" xfId="0" applyNumberFormat="1" applyFont="1" applyBorder="1" applyAlignment="1">
      <alignment vertical="center"/>
    </xf>
    <xf numFmtId="1" fontId="5" fillId="0" borderId="5" xfId="0" applyNumberFormat="1" applyFont="1" applyBorder="1" applyAlignment="1">
      <alignment vertical="center"/>
    </xf>
    <xf numFmtId="1" fontId="5" fillId="0" borderId="6" xfId="0" applyNumberFormat="1" applyFont="1" applyBorder="1" applyAlignment="1">
      <alignment vertical="center"/>
    </xf>
    <xf numFmtId="43" fontId="5" fillId="0" borderId="10" xfId="0" applyNumberFormat="1" applyFont="1" applyBorder="1" applyAlignment="1">
      <alignment vertical="center"/>
    </xf>
    <xf numFmtId="43" fontId="11" fillId="0" borderId="10" xfId="0" applyNumberFormat="1" applyFont="1" applyBorder="1" applyAlignment="1">
      <alignment vertical="center"/>
    </xf>
    <xf numFmtId="43" fontId="11" fillId="0" borderId="11" xfId="0" applyNumberFormat="1" applyFont="1" applyBorder="1" applyAlignment="1">
      <alignment vertical="center"/>
    </xf>
    <xf numFmtId="0" fontId="5" fillId="0" borderId="7" xfId="0" applyFont="1" applyBorder="1" applyAlignment="1">
      <alignment horizontal="left" vertical="center"/>
    </xf>
    <xf numFmtId="0" fontId="5" fillId="0" borderId="26" xfId="0" applyFont="1" applyBorder="1" applyAlignment="1">
      <alignment horizontal="left" vertical="center"/>
    </xf>
    <xf numFmtId="0" fontId="5" fillId="0" borderId="27" xfId="0" applyFont="1" applyBorder="1" applyAlignment="1">
      <alignment horizontal="center" vertical="center"/>
    </xf>
    <xf numFmtId="165" fontId="5" fillId="0" borderId="8" xfId="0" applyNumberFormat="1" applyFont="1" applyBorder="1" applyAlignment="1">
      <alignment vertical="center"/>
    </xf>
    <xf numFmtId="0" fontId="3" fillId="2" borderId="0" xfId="0" applyFont="1" applyFill="1" applyAlignment="1">
      <alignment horizontal="center" vertical="center" wrapText="1"/>
    </xf>
    <xf numFmtId="0" fontId="6" fillId="0" borderId="0" xfId="0" applyFont="1" applyAlignment="1">
      <alignment horizontal="left" vertical="center"/>
    </xf>
    <xf numFmtId="0" fontId="7" fillId="0" borderId="0" xfId="0" applyFont="1" applyAlignment="1">
      <alignment horizontal="left" vertical="center" wrapText="1"/>
    </xf>
    <xf numFmtId="0" fontId="5" fillId="0" borderId="0" xfId="0" applyFont="1" applyAlignment="1">
      <alignment horizontal="left" vertical="center" wrapText="1"/>
    </xf>
    <xf numFmtId="0" fontId="9" fillId="2" borderId="0" xfId="0" applyFont="1" applyFill="1" applyAlignment="1">
      <alignment horizontal="left" vertical="center" wrapText="1"/>
    </xf>
    <xf numFmtId="0" fontId="13" fillId="0" borderId="3" xfId="0" applyFont="1" applyBorder="1" applyAlignment="1">
      <alignment horizontal="center" vertical="center"/>
    </xf>
    <xf numFmtId="0" fontId="5" fillId="0" borderId="10" xfId="0" applyFont="1" applyBorder="1" applyAlignment="1">
      <alignment horizontal="center" vertical="center"/>
    </xf>
    <xf numFmtId="0" fontId="5" fillId="3" borderId="0" xfId="0" applyFont="1" applyFill="1" applyAlignment="1">
      <alignment horizontal="left" vertical="top" wrapText="1"/>
    </xf>
  </cellXfs>
  <cellStyles count="5">
    <cellStyle name="Migliaia" xfId="1" builtinId="3"/>
    <cellStyle name="Migliaia 2" xfId="2" xr:uid="{00000000-0005-0000-0000-000001000000}"/>
    <cellStyle name="Migliaia 3" xfId="3" xr:uid="{00000000-0005-0000-0000-000002000000}"/>
    <cellStyle name="Normale" xfId="0" builtinId="0"/>
    <cellStyle name="Percentuale" xfId="4"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showGridLines="0" zoomScale="120" zoomScaleNormal="120" workbookViewId="0">
      <selection activeCell="B4" sqref="B4"/>
    </sheetView>
  </sheetViews>
  <sheetFormatPr defaultColWidth="8.81640625" defaultRowHeight="14" x14ac:dyDescent="0.3"/>
  <cols>
    <col min="1" max="1" width="20" style="1" customWidth="1"/>
    <col min="2" max="2" width="41.81640625" style="1" customWidth="1"/>
    <col min="3" max="16384" width="8.81640625" style="1"/>
  </cols>
  <sheetData>
    <row r="1" spans="1:2" ht="38.5" customHeight="1" x14ac:dyDescent="0.3">
      <c r="A1" s="114" t="s">
        <v>33</v>
      </c>
      <c r="B1" s="114"/>
    </row>
    <row r="3" spans="1:2" ht="14.5" thickBot="1" x14ac:dyDescent="0.35"/>
    <row r="4" spans="1:2" ht="14.5" thickBot="1" x14ac:dyDescent="0.35">
      <c r="A4" s="30" t="s">
        <v>0</v>
      </c>
      <c r="B4" s="31"/>
    </row>
    <row r="5" spans="1:2" ht="14.5" thickBot="1" x14ac:dyDescent="0.35">
      <c r="A5" s="2"/>
    </row>
    <row r="6" spans="1:2" ht="14.5" thickBot="1" x14ac:dyDescent="0.35">
      <c r="A6" s="30" t="s">
        <v>1</v>
      </c>
      <c r="B6" s="31"/>
    </row>
    <row r="7" spans="1:2" ht="14.5" thickBot="1" x14ac:dyDescent="0.35">
      <c r="A7" s="2"/>
    </row>
    <row r="8" spans="1:2" ht="14.5" thickBot="1" x14ac:dyDescent="0.35">
      <c r="A8" s="30" t="s">
        <v>2</v>
      </c>
      <c r="B8" s="32"/>
    </row>
    <row r="9" spans="1:2" ht="14.5" thickBot="1" x14ac:dyDescent="0.35">
      <c r="A9" s="2"/>
    </row>
    <row r="10" spans="1:2" ht="14.5" thickBot="1" x14ac:dyDescent="0.35">
      <c r="A10" s="30" t="s">
        <v>3</v>
      </c>
      <c r="B10" s="32"/>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F6F0C-DE72-4A69-8B24-27C6DC46977C}">
  <sheetPr>
    <tabColor rgb="FFFFFF00"/>
    <pageSetUpPr fitToPage="1"/>
  </sheetPr>
  <dimension ref="A1:H11"/>
  <sheetViews>
    <sheetView showGridLines="0" topLeftCell="A7" zoomScaleNormal="100" workbookViewId="0">
      <selection activeCell="A19" sqref="A19"/>
    </sheetView>
  </sheetViews>
  <sheetFormatPr defaultColWidth="8.81640625" defaultRowHeight="15.5" x14ac:dyDescent="0.35"/>
  <cols>
    <col min="1" max="3" width="15.1796875" style="3" customWidth="1"/>
    <col min="4" max="5" width="15.453125" style="3" customWidth="1"/>
    <col min="6" max="8" width="14.453125" style="3" customWidth="1"/>
    <col min="9" max="9" width="4" style="3" customWidth="1"/>
    <col min="10" max="16384" width="8.81640625" style="3"/>
  </cols>
  <sheetData>
    <row r="1" spans="1:8" ht="30.5" customHeight="1" x14ac:dyDescent="0.35">
      <c r="A1" s="115" t="s">
        <v>46</v>
      </c>
      <c r="B1" s="115"/>
      <c r="C1" s="115"/>
      <c r="D1" s="115"/>
      <c r="E1" s="115"/>
      <c r="F1" s="115"/>
      <c r="G1" s="115"/>
      <c r="H1" s="115"/>
    </row>
    <row r="2" spans="1:8" ht="77.5" customHeight="1" x14ac:dyDescent="0.35">
      <c r="A2" s="116" t="s">
        <v>44</v>
      </c>
      <c r="B2" s="116"/>
      <c r="C2" s="116"/>
      <c r="D2" s="116"/>
      <c r="E2" s="116"/>
      <c r="F2" s="116"/>
      <c r="G2" s="116"/>
      <c r="H2" s="116"/>
    </row>
    <row r="3" spans="1:8" x14ac:dyDescent="0.35">
      <c r="A3" s="4"/>
      <c r="B3" s="4"/>
      <c r="C3" s="4"/>
      <c r="D3" s="4"/>
      <c r="E3" s="4"/>
    </row>
    <row r="4" spans="1:8" ht="26.5" customHeight="1" x14ac:dyDescent="0.35">
      <c r="A4" s="4"/>
      <c r="B4" s="4"/>
      <c r="C4" s="33"/>
      <c r="D4" s="5" t="s">
        <v>5</v>
      </c>
      <c r="E4" s="5" t="s">
        <v>6</v>
      </c>
      <c r="F4" s="34"/>
    </row>
    <row r="5" spans="1:8" s="6" customFormat="1" x14ac:dyDescent="0.35">
      <c r="A5" s="35" t="s">
        <v>7</v>
      </c>
      <c r="B5" s="36"/>
      <c r="C5" s="37"/>
      <c r="D5" s="38">
        <v>39000</v>
      </c>
      <c r="E5" s="39">
        <v>50000</v>
      </c>
      <c r="F5" s="40"/>
    </row>
    <row r="6" spans="1:8" s="6" customFormat="1" x14ac:dyDescent="0.35">
      <c r="A6" s="41" t="s">
        <v>50</v>
      </c>
      <c r="B6" s="42"/>
      <c r="C6" s="43"/>
      <c r="D6" s="44">
        <v>15</v>
      </c>
      <c r="E6" s="45">
        <v>25</v>
      </c>
      <c r="F6" s="46"/>
    </row>
    <row r="7" spans="1:8" s="6" customFormat="1" x14ac:dyDescent="0.35">
      <c r="A7" s="47" t="s">
        <v>18</v>
      </c>
      <c r="B7" s="48"/>
      <c r="C7" s="49"/>
      <c r="D7" s="50">
        <v>0.25</v>
      </c>
      <c r="E7" s="51">
        <v>0.3</v>
      </c>
      <c r="F7" s="40"/>
    </row>
    <row r="8" spans="1:8" ht="13.5" customHeight="1" x14ac:dyDescent="0.35">
      <c r="A8" s="52"/>
      <c r="B8" s="53"/>
      <c r="C8" s="54"/>
      <c r="D8" s="55"/>
      <c r="E8" s="56"/>
      <c r="F8" s="55"/>
    </row>
    <row r="9" spans="1:8" ht="109.25" customHeight="1" x14ac:dyDescent="0.35">
      <c r="A9" s="117" t="s">
        <v>63</v>
      </c>
      <c r="B9" s="117"/>
      <c r="C9" s="117"/>
      <c r="D9" s="117"/>
      <c r="E9" s="117"/>
      <c r="F9" s="117"/>
      <c r="G9" s="117"/>
      <c r="H9" s="117"/>
    </row>
    <row r="10" spans="1:8" s="4" customFormat="1" x14ac:dyDescent="0.35"/>
    <row r="11" spans="1:8" s="4" customFormat="1" ht="176.5" customHeight="1" x14ac:dyDescent="0.35">
      <c r="A11" s="118" t="s">
        <v>45</v>
      </c>
      <c r="B11" s="118"/>
      <c r="C11" s="118"/>
      <c r="D11" s="118"/>
      <c r="E11" s="118"/>
      <c r="F11" s="118"/>
      <c r="G11" s="118"/>
      <c r="H11" s="118"/>
    </row>
  </sheetData>
  <mergeCells count="4">
    <mergeCell ref="A1:H1"/>
    <mergeCell ref="A2:H2"/>
    <mergeCell ref="A9:H9"/>
    <mergeCell ref="A11:H11"/>
  </mergeCells>
  <pageMargins left="0.19685039370078741" right="0.19685039370078741" top="0.19685039370078741" bottom="0.19685039370078741" header="0.31496062992125984" footer="0.31496062992125984"/>
  <pageSetup paperSize="9" scale="8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H30"/>
  <sheetViews>
    <sheetView showGridLines="0" topLeftCell="A10" zoomScaleNormal="100" workbookViewId="0">
      <selection activeCell="B29" sqref="B29"/>
    </sheetView>
  </sheetViews>
  <sheetFormatPr defaultColWidth="8.81640625" defaultRowHeight="15.5" x14ac:dyDescent="0.35"/>
  <cols>
    <col min="1" max="3" width="15.1796875" style="3" customWidth="1"/>
    <col min="4" max="5" width="15.453125" style="3" customWidth="1"/>
    <col min="6" max="8" width="14.453125" style="3" customWidth="1"/>
    <col min="9" max="9" width="4" style="3" customWidth="1"/>
    <col min="10" max="16384" width="8.81640625" style="3"/>
  </cols>
  <sheetData>
    <row r="1" spans="1:8" ht="30.5" customHeight="1" x14ac:dyDescent="0.35">
      <c r="A1" s="115" t="s">
        <v>46</v>
      </c>
      <c r="B1" s="115"/>
      <c r="C1" s="115"/>
      <c r="D1" s="115"/>
      <c r="E1" s="115"/>
      <c r="F1" s="115"/>
      <c r="G1" s="115"/>
      <c r="H1" s="115"/>
    </row>
    <row r="2" spans="1:8" ht="77.5" customHeight="1" x14ac:dyDescent="0.35">
      <c r="A2" s="116" t="s">
        <v>44</v>
      </c>
      <c r="B2" s="116"/>
      <c r="C2" s="116"/>
      <c r="D2" s="116"/>
      <c r="E2" s="116"/>
      <c r="F2" s="116"/>
      <c r="G2" s="116"/>
      <c r="H2" s="116"/>
    </row>
    <row r="3" spans="1:8" x14ac:dyDescent="0.35">
      <c r="A3" s="4"/>
      <c r="B3" s="4"/>
      <c r="C3" s="4"/>
      <c r="D3" s="4"/>
      <c r="E3" s="4"/>
    </row>
    <row r="4" spans="1:8" ht="26.5" customHeight="1" x14ac:dyDescent="0.35">
      <c r="A4" s="4"/>
      <c r="B4" s="4"/>
      <c r="C4" s="33"/>
      <c r="D4" s="5" t="s">
        <v>5</v>
      </c>
      <c r="E4" s="5" t="s">
        <v>6</v>
      </c>
      <c r="F4" s="34"/>
    </row>
    <row r="5" spans="1:8" s="6" customFormat="1" x14ac:dyDescent="0.35">
      <c r="A5" s="35" t="s">
        <v>7</v>
      </c>
      <c r="B5" s="36"/>
      <c r="C5" s="37"/>
      <c r="D5" s="38">
        <v>39000</v>
      </c>
      <c r="E5" s="39">
        <v>50000</v>
      </c>
      <c r="F5" s="40"/>
    </row>
    <row r="6" spans="1:8" s="6" customFormat="1" x14ac:dyDescent="0.35">
      <c r="A6" s="41" t="s">
        <v>50</v>
      </c>
      <c r="B6" s="42"/>
      <c r="C6" s="43"/>
      <c r="D6" s="44">
        <v>15</v>
      </c>
      <c r="E6" s="45">
        <v>25</v>
      </c>
      <c r="F6" s="46"/>
    </row>
    <row r="7" spans="1:8" s="6" customFormat="1" x14ac:dyDescent="0.35">
      <c r="A7" s="47" t="s">
        <v>18</v>
      </c>
      <c r="B7" s="48"/>
      <c r="C7" s="49"/>
      <c r="D7" s="50">
        <v>0.25</v>
      </c>
      <c r="E7" s="51">
        <v>0.3</v>
      </c>
      <c r="F7" s="40"/>
    </row>
    <row r="8" spans="1:8" ht="13.5" customHeight="1" x14ac:dyDescent="0.35">
      <c r="A8" s="52"/>
      <c r="B8" s="53"/>
      <c r="C8" s="54"/>
      <c r="D8" s="55"/>
      <c r="E8" s="56"/>
      <c r="F8" s="55"/>
    </row>
    <row r="9" spans="1:8" ht="109.25" customHeight="1" x14ac:dyDescent="0.35">
      <c r="A9" s="117" t="s">
        <v>63</v>
      </c>
      <c r="B9" s="117"/>
      <c r="C9" s="117"/>
      <c r="D9" s="117"/>
      <c r="E9" s="117"/>
      <c r="F9" s="117"/>
      <c r="G9" s="117"/>
      <c r="H9" s="117"/>
    </row>
    <row r="10" spans="1:8" s="4" customFormat="1" x14ac:dyDescent="0.35"/>
    <row r="11" spans="1:8" s="4" customFormat="1" ht="176.5" customHeight="1" x14ac:dyDescent="0.35">
      <c r="A11" s="118" t="s">
        <v>45</v>
      </c>
      <c r="B11" s="118"/>
      <c r="C11" s="118"/>
      <c r="D11" s="118"/>
      <c r="E11" s="118"/>
      <c r="F11" s="118"/>
      <c r="G11" s="118"/>
      <c r="H11" s="118"/>
    </row>
    <row r="13" spans="1:8" x14ac:dyDescent="0.35">
      <c r="A13" s="57" t="s">
        <v>34</v>
      </c>
    </row>
    <row r="14" spans="1:8" x14ac:dyDescent="0.35">
      <c r="D14" s="5" t="s">
        <v>5</v>
      </c>
      <c r="E14" s="5" t="s">
        <v>6</v>
      </c>
      <c r="F14" s="5" t="s">
        <v>4</v>
      </c>
    </row>
    <row r="15" spans="1:8" x14ac:dyDescent="0.35">
      <c r="A15" s="16" t="s">
        <v>8</v>
      </c>
      <c r="B15" s="17"/>
      <c r="C15" s="18"/>
      <c r="D15" s="11">
        <f>D5*D6</f>
        <v>585000</v>
      </c>
      <c r="E15" s="11">
        <f>E5*E6</f>
        <v>1250000</v>
      </c>
      <c r="F15" s="12">
        <f t="shared" ref="F15:F23" si="0">SUM(D15:E15)</f>
        <v>1835000</v>
      </c>
    </row>
    <row r="16" spans="1:8" x14ac:dyDescent="0.35">
      <c r="A16" s="19" t="s">
        <v>9</v>
      </c>
      <c r="C16" s="20"/>
      <c r="D16" s="13">
        <f>D15*D7</f>
        <v>146250</v>
      </c>
      <c r="E16" s="13">
        <f>E15*E7</f>
        <v>375000</v>
      </c>
      <c r="F16" s="14">
        <f t="shared" si="0"/>
        <v>521250</v>
      </c>
    </row>
    <row r="17" spans="1:7" x14ac:dyDescent="0.35">
      <c r="A17" s="21" t="s">
        <v>10</v>
      </c>
      <c r="B17" s="22"/>
      <c r="C17" s="23"/>
      <c r="D17" s="13">
        <f>D15*0.1</f>
        <v>58500</v>
      </c>
      <c r="E17" s="13">
        <f>E15*0.1</f>
        <v>125000</v>
      </c>
      <c r="F17" s="14">
        <f t="shared" si="0"/>
        <v>183500</v>
      </c>
    </row>
    <row r="18" spans="1:7" x14ac:dyDescent="0.35">
      <c r="A18" s="8" t="s">
        <v>11</v>
      </c>
      <c r="B18" s="9"/>
      <c r="C18" s="9"/>
      <c r="D18" s="15">
        <f>D15-D16-D17</f>
        <v>380250</v>
      </c>
      <c r="E18" s="15">
        <f t="shared" ref="E18" si="1">E15-E16-E17</f>
        <v>750000</v>
      </c>
      <c r="F18" s="15">
        <f t="shared" si="0"/>
        <v>1130250</v>
      </c>
      <c r="G18" s="29"/>
    </row>
    <row r="19" spans="1:7" x14ac:dyDescent="0.35">
      <c r="A19" s="19" t="s">
        <v>19</v>
      </c>
      <c r="D19" s="11">
        <f>D15*0.12</f>
        <v>70200</v>
      </c>
      <c r="E19" s="11">
        <f>E15*0.12</f>
        <v>150000</v>
      </c>
      <c r="F19" s="14">
        <f t="shared" si="0"/>
        <v>220200</v>
      </c>
    </row>
    <row r="20" spans="1:7" x14ac:dyDescent="0.35">
      <c r="A20" s="19" t="s">
        <v>12</v>
      </c>
      <c r="D20" s="25">
        <v>80000</v>
      </c>
      <c r="E20" s="25">
        <v>120000</v>
      </c>
      <c r="F20" s="14">
        <f t="shared" si="0"/>
        <v>200000</v>
      </c>
    </row>
    <row r="21" spans="1:7" x14ac:dyDescent="0.35">
      <c r="A21" s="8" t="s">
        <v>13</v>
      </c>
      <c r="B21" s="9"/>
      <c r="C21" s="9"/>
      <c r="D21" s="15">
        <f>D18-D19-D20</f>
        <v>230050</v>
      </c>
      <c r="E21" s="15">
        <f>E18-E19-E20</f>
        <v>480000</v>
      </c>
      <c r="F21" s="15">
        <f t="shared" si="0"/>
        <v>710050</v>
      </c>
      <c r="G21" s="29"/>
    </row>
    <row r="22" spans="1:7" x14ac:dyDescent="0.35">
      <c r="A22" s="8" t="s">
        <v>14</v>
      </c>
      <c r="B22" s="9"/>
      <c r="C22" s="26"/>
      <c r="D22" s="15">
        <v>50000</v>
      </c>
      <c r="E22" s="15">
        <v>38000</v>
      </c>
      <c r="F22" s="15">
        <f t="shared" si="0"/>
        <v>88000</v>
      </c>
    </row>
    <row r="23" spans="1:7" x14ac:dyDescent="0.35">
      <c r="A23" s="8" t="s">
        <v>16</v>
      </c>
      <c r="B23" s="9"/>
      <c r="C23" s="9"/>
      <c r="D23" s="15">
        <f>D21-D22</f>
        <v>180050</v>
      </c>
      <c r="E23" s="15">
        <f>E21-E22</f>
        <v>442000</v>
      </c>
      <c r="F23" s="15">
        <f t="shared" si="0"/>
        <v>622050</v>
      </c>
      <c r="G23" s="29"/>
    </row>
    <row r="24" spans="1:7" x14ac:dyDescent="0.35">
      <c r="A24" s="19" t="s">
        <v>20</v>
      </c>
      <c r="D24" s="24"/>
      <c r="E24" s="24"/>
      <c r="F24" s="11">
        <v>150000</v>
      </c>
    </row>
    <row r="25" spans="1:7" x14ac:dyDescent="0.35">
      <c r="A25" s="19" t="s">
        <v>17</v>
      </c>
      <c r="D25" s="24"/>
      <c r="E25" s="24"/>
      <c r="F25" s="13">
        <v>145000</v>
      </c>
    </row>
    <row r="26" spans="1:7" x14ac:dyDescent="0.35">
      <c r="A26" s="8" t="s">
        <v>15</v>
      </c>
      <c r="B26" s="9"/>
      <c r="C26" s="9"/>
      <c r="D26" s="10"/>
      <c r="E26" s="10"/>
      <c r="F26" s="15">
        <f>F23-F24-F25</f>
        <v>327050</v>
      </c>
      <c r="G26" s="29"/>
    </row>
    <row r="27" spans="1:7" x14ac:dyDescent="0.35">
      <c r="D27" s="7"/>
      <c r="E27" s="7"/>
      <c r="F27" s="7"/>
    </row>
    <row r="28" spans="1:7" x14ac:dyDescent="0.35">
      <c r="D28" s="7"/>
      <c r="E28" s="7"/>
      <c r="F28" s="7"/>
    </row>
    <row r="29" spans="1:7" x14ac:dyDescent="0.35">
      <c r="A29" s="3" t="s">
        <v>21</v>
      </c>
      <c r="B29" s="27">
        <f>D21/D15</f>
        <v>0.39324786324786326</v>
      </c>
      <c r="D29" s="29"/>
    </row>
    <row r="30" spans="1:7" x14ac:dyDescent="0.35">
      <c r="A30" s="3" t="s">
        <v>22</v>
      </c>
      <c r="B30" s="28">
        <f>D15/2500000</f>
        <v>0.23400000000000001</v>
      </c>
      <c r="D30" s="29"/>
    </row>
  </sheetData>
  <mergeCells count="4">
    <mergeCell ref="A1:H1"/>
    <mergeCell ref="A11:H11"/>
    <mergeCell ref="A2:H2"/>
    <mergeCell ref="A9:H9"/>
  </mergeCells>
  <pageMargins left="0.19685039370078741" right="0.19685039370078741" top="0.19685039370078741" bottom="0.19685039370078741"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46460-8D5F-40A2-9603-4353E81CA4D9}">
  <sheetPr>
    <tabColor rgb="FFFFFF00"/>
    <pageSetUpPr fitToPage="1"/>
  </sheetPr>
  <dimension ref="A1:L12"/>
  <sheetViews>
    <sheetView topLeftCell="A4" workbookViewId="0">
      <selection activeCell="J11" sqref="J11"/>
    </sheetView>
  </sheetViews>
  <sheetFormatPr defaultColWidth="13.1796875" defaultRowHeight="15.5" x14ac:dyDescent="0.35"/>
  <cols>
    <col min="1" max="1" width="36.81640625" style="4" customWidth="1"/>
    <col min="2" max="2" width="14" style="71" customWidth="1"/>
    <col min="3" max="7" width="14" style="4" customWidth="1"/>
    <col min="8" max="16384" width="13.1796875" style="4"/>
  </cols>
  <sheetData>
    <row r="1" spans="1:12" ht="30.5" customHeight="1" x14ac:dyDescent="0.35">
      <c r="A1" s="115" t="s">
        <v>47</v>
      </c>
      <c r="B1" s="115"/>
      <c r="C1" s="115"/>
      <c r="D1" s="115"/>
      <c r="E1" s="115"/>
      <c r="F1" s="115"/>
      <c r="G1" s="115"/>
    </row>
    <row r="2" spans="1:12" ht="150" customHeight="1" x14ac:dyDescent="0.35">
      <c r="A2" s="117" t="s">
        <v>51</v>
      </c>
      <c r="B2" s="117"/>
      <c r="C2" s="117"/>
      <c r="D2" s="117"/>
      <c r="E2" s="117"/>
      <c r="F2" s="117"/>
      <c r="G2" s="117"/>
    </row>
    <row r="4" spans="1:12" ht="14.5" customHeight="1" x14ac:dyDescent="0.35">
      <c r="A4" s="58"/>
      <c r="B4" s="97"/>
      <c r="C4" s="98"/>
      <c r="D4" s="97"/>
      <c r="E4" s="119" t="s">
        <v>23</v>
      </c>
      <c r="F4" s="119"/>
      <c r="G4" s="119"/>
      <c r="H4" s="59"/>
    </row>
    <row r="5" spans="1:12" ht="39.5" customHeight="1" x14ac:dyDescent="0.35">
      <c r="A5" s="60"/>
      <c r="B5" s="85" t="s">
        <v>24</v>
      </c>
      <c r="C5" s="98"/>
      <c r="D5" s="85" t="s">
        <v>25</v>
      </c>
      <c r="E5" s="86" t="s">
        <v>52</v>
      </c>
      <c r="F5" s="86" t="s">
        <v>26</v>
      </c>
      <c r="G5" s="86" t="s">
        <v>27</v>
      </c>
      <c r="H5" s="59"/>
    </row>
    <row r="6" spans="1:12" x14ac:dyDescent="0.35">
      <c r="A6" s="61" t="s">
        <v>28</v>
      </c>
      <c r="B6" s="62">
        <v>0.6</v>
      </c>
      <c r="D6" s="63">
        <v>2000</v>
      </c>
      <c r="E6" s="64">
        <v>4000</v>
      </c>
      <c r="F6" s="64">
        <v>12000</v>
      </c>
      <c r="G6" s="64">
        <f>SUM(E6:F6)</f>
        <v>16000</v>
      </c>
      <c r="H6" s="59"/>
      <c r="J6" s="65"/>
      <c r="K6" s="65"/>
      <c r="L6" s="65"/>
    </row>
    <row r="7" spans="1:12" x14ac:dyDescent="0.35">
      <c r="A7" s="61" t="s">
        <v>29</v>
      </c>
      <c r="B7" s="66"/>
      <c r="D7" s="63">
        <v>6000</v>
      </c>
      <c r="E7" s="64"/>
      <c r="F7" s="64"/>
      <c r="G7" s="64"/>
      <c r="H7" s="59"/>
    </row>
    <row r="8" spans="1:12" x14ac:dyDescent="0.35">
      <c r="A8" s="61" t="s">
        <v>40</v>
      </c>
      <c r="B8" s="66"/>
      <c r="D8" s="63"/>
      <c r="E8" s="64">
        <v>12000</v>
      </c>
      <c r="F8" s="64">
        <v>54360</v>
      </c>
      <c r="G8" s="64">
        <f>SUM(E8:F8)</f>
        <v>66360</v>
      </c>
      <c r="H8" s="59"/>
      <c r="J8" s="67"/>
      <c r="K8" s="67"/>
      <c r="L8" s="67"/>
    </row>
    <row r="9" spans="1:12" s="33" customFormat="1" x14ac:dyDescent="0.35">
      <c r="A9" s="68" t="s">
        <v>27</v>
      </c>
      <c r="B9" s="5"/>
      <c r="D9" s="69">
        <f>SUM(D6:D8)</f>
        <v>8000</v>
      </c>
      <c r="E9" s="70">
        <f>SUM(E6:E8)</f>
        <v>16000</v>
      </c>
      <c r="F9" s="70">
        <f t="shared" ref="F9" si="0">SUM(F6:F8)</f>
        <v>66360</v>
      </c>
      <c r="G9" s="70">
        <f>SUM(G6:G8)</f>
        <v>82360</v>
      </c>
      <c r="H9" s="59"/>
    </row>
    <row r="10" spans="1:12" x14ac:dyDescent="0.35">
      <c r="A10" s="33"/>
      <c r="D10" s="72"/>
    </row>
    <row r="11" spans="1:12" ht="111.5" customHeight="1" x14ac:dyDescent="0.35">
      <c r="A11" s="118" t="s">
        <v>59</v>
      </c>
      <c r="B11" s="118"/>
      <c r="C11" s="118"/>
      <c r="D11" s="118"/>
      <c r="E11" s="118"/>
      <c r="F11" s="118"/>
      <c r="G11" s="118"/>
    </row>
    <row r="12" spans="1:12" ht="17" customHeight="1" x14ac:dyDescent="0.35"/>
  </sheetData>
  <mergeCells count="4">
    <mergeCell ref="A1:G1"/>
    <mergeCell ref="A2:G2"/>
    <mergeCell ref="E4:G4"/>
    <mergeCell ref="A11:G11"/>
  </mergeCells>
  <pageMargins left="0.70866141732283472" right="0.70866141732283472" top="0.74803149606299213" bottom="0.74803149606299213" header="0.31496062992125984" footer="0.31496062992125984"/>
  <pageSetup paperSize="9" scale="7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pageSetUpPr fitToPage="1"/>
  </sheetPr>
  <dimension ref="A1:L32"/>
  <sheetViews>
    <sheetView topLeftCell="A12" workbookViewId="0">
      <selection activeCell="I32" sqref="I32"/>
    </sheetView>
  </sheetViews>
  <sheetFormatPr defaultColWidth="13.1796875" defaultRowHeight="15.5" x14ac:dyDescent="0.35"/>
  <cols>
    <col min="1" max="1" width="36.81640625" style="4" customWidth="1"/>
    <col min="2" max="2" width="14" style="71" customWidth="1"/>
    <col min="3" max="7" width="14" style="4" customWidth="1"/>
    <col min="8" max="16384" width="13.1796875" style="4"/>
  </cols>
  <sheetData>
    <row r="1" spans="1:12" ht="30.5" customHeight="1" x14ac:dyDescent="0.35">
      <c r="A1" s="115" t="s">
        <v>47</v>
      </c>
      <c r="B1" s="115"/>
      <c r="C1" s="115"/>
      <c r="D1" s="115"/>
      <c r="E1" s="115"/>
      <c r="F1" s="115"/>
      <c r="G1" s="115"/>
    </row>
    <row r="2" spans="1:12" ht="150" customHeight="1" x14ac:dyDescent="0.35">
      <c r="A2" s="117" t="s">
        <v>51</v>
      </c>
      <c r="B2" s="117"/>
      <c r="C2" s="117"/>
      <c r="D2" s="117"/>
      <c r="E2" s="117"/>
      <c r="F2" s="117"/>
      <c r="G2" s="117"/>
    </row>
    <row r="4" spans="1:12" ht="14.5" customHeight="1" x14ac:dyDescent="0.35">
      <c r="A4" s="58"/>
      <c r="B4" s="97"/>
      <c r="C4" s="98"/>
      <c r="D4" s="97"/>
      <c r="E4" s="119" t="s">
        <v>23</v>
      </c>
      <c r="F4" s="119"/>
      <c r="G4" s="119"/>
      <c r="H4" s="59"/>
    </row>
    <row r="5" spans="1:12" ht="39.5" customHeight="1" x14ac:dyDescent="0.35">
      <c r="A5" s="60"/>
      <c r="B5" s="85" t="s">
        <v>24</v>
      </c>
      <c r="C5" s="98"/>
      <c r="D5" s="85" t="s">
        <v>25</v>
      </c>
      <c r="E5" s="86" t="s">
        <v>52</v>
      </c>
      <c r="F5" s="86" t="s">
        <v>26</v>
      </c>
      <c r="G5" s="86" t="s">
        <v>27</v>
      </c>
      <c r="H5" s="59"/>
    </row>
    <row r="6" spans="1:12" x14ac:dyDescent="0.35">
      <c r="A6" s="61" t="s">
        <v>28</v>
      </c>
      <c r="B6" s="62">
        <v>0.6</v>
      </c>
      <c r="D6" s="63">
        <v>2000</v>
      </c>
      <c r="E6" s="64">
        <v>4000</v>
      </c>
      <c r="F6" s="64">
        <v>12000</v>
      </c>
      <c r="G6" s="64">
        <f>SUM(E6:F6)</f>
        <v>16000</v>
      </c>
      <c r="H6" s="59"/>
      <c r="J6" s="65"/>
      <c r="K6" s="65"/>
      <c r="L6" s="65"/>
    </row>
    <row r="7" spans="1:12" x14ac:dyDescent="0.35">
      <c r="A7" s="61" t="s">
        <v>29</v>
      </c>
      <c r="B7" s="66"/>
      <c r="D7" s="63">
        <v>6000</v>
      </c>
      <c r="E7" s="64"/>
      <c r="F7" s="64"/>
      <c r="G7" s="64"/>
      <c r="H7" s="59"/>
    </row>
    <row r="8" spans="1:12" x14ac:dyDescent="0.35">
      <c r="A8" s="61" t="s">
        <v>40</v>
      </c>
      <c r="B8" s="66"/>
      <c r="D8" s="63"/>
      <c r="E8" s="64">
        <v>12000</v>
      </c>
      <c r="F8" s="64">
        <v>54360</v>
      </c>
      <c r="G8" s="64">
        <f>SUM(E8:F8)</f>
        <v>66360</v>
      </c>
      <c r="H8" s="59"/>
      <c r="J8" s="67"/>
      <c r="K8" s="67"/>
      <c r="L8" s="67"/>
    </row>
    <row r="9" spans="1:12" s="33" customFormat="1" x14ac:dyDescent="0.35">
      <c r="A9" s="68" t="s">
        <v>27</v>
      </c>
      <c r="B9" s="5"/>
      <c r="D9" s="69">
        <f>SUM(D6:D8)</f>
        <v>8000</v>
      </c>
      <c r="E9" s="70">
        <f>SUM(E6:E8)</f>
        <v>16000</v>
      </c>
      <c r="F9" s="70">
        <f t="shared" ref="F9" si="0">SUM(F6:F8)</f>
        <v>66360</v>
      </c>
      <c r="G9" s="70">
        <f>SUM(G6:G8)</f>
        <v>82360</v>
      </c>
      <c r="H9" s="59"/>
    </row>
    <row r="10" spans="1:12" x14ac:dyDescent="0.35">
      <c r="A10" s="33"/>
      <c r="D10" s="72"/>
    </row>
    <row r="11" spans="1:12" ht="111.5" customHeight="1" x14ac:dyDescent="0.35">
      <c r="A11" s="118" t="s">
        <v>59</v>
      </c>
      <c r="B11" s="118"/>
      <c r="C11" s="118"/>
      <c r="D11" s="118"/>
      <c r="E11" s="118"/>
      <c r="F11" s="118"/>
      <c r="G11" s="118"/>
    </row>
    <row r="13" spans="1:12" x14ac:dyDescent="0.35">
      <c r="A13" s="57" t="s">
        <v>34</v>
      </c>
    </row>
    <row r="14" spans="1:12" ht="16" thickBot="1" x14ac:dyDescent="0.4">
      <c r="D14" s="71" t="s">
        <v>38</v>
      </c>
      <c r="E14" s="120" t="s">
        <v>57</v>
      </c>
      <c r="F14" s="120"/>
    </row>
    <row r="15" spans="1:12" x14ac:dyDescent="0.35">
      <c r="A15" s="93" t="s">
        <v>53</v>
      </c>
      <c r="B15" s="84"/>
      <c r="C15" s="73"/>
      <c r="D15" s="84" t="s">
        <v>56</v>
      </c>
      <c r="E15" s="84" t="s">
        <v>54</v>
      </c>
      <c r="F15" s="94" t="s">
        <v>55</v>
      </c>
    </row>
    <row r="16" spans="1:12" x14ac:dyDescent="0.35">
      <c r="A16" s="74" t="s">
        <v>30</v>
      </c>
      <c r="B16" s="75"/>
      <c r="D16" s="87">
        <v>7500</v>
      </c>
      <c r="E16" s="88">
        <f>D16</f>
        <v>7500</v>
      </c>
      <c r="F16" s="90">
        <v>7500</v>
      </c>
    </row>
    <row r="17" spans="1:7" x14ac:dyDescent="0.35">
      <c r="A17" s="74" t="s">
        <v>31</v>
      </c>
      <c r="B17" s="75"/>
      <c r="D17" s="87">
        <v>500</v>
      </c>
      <c r="E17" s="88">
        <v>500</v>
      </c>
      <c r="F17" s="90">
        <f>D17*0.8</f>
        <v>400</v>
      </c>
    </row>
    <row r="18" spans="1:7" x14ac:dyDescent="0.35">
      <c r="A18" s="74" t="s">
        <v>39</v>
      </c>
      <c r="B18" s="75"/>
      <c r="D18" s="87">
        <v>8000</v>
      </c>
      <c r="E18" s="87"/>
      <c r="F18" s="91"/>
    </row>
    <row r="19" spans="1:7" ht="16" thickBot="1" x14ac:dyDescent="0.4">
      <c r="A19" s="76" t="s">
        <v>48</v>
      </c>
      <c r="B19" s="77"/>
      <c r="C19" s="78"/>
      <c r="D19" s="89"/>
      <c r="E19" s="89">
        <f>E16+E17</f>
        <v>8000</v>
      </c>
      <c r="F19" s="92">
        <f t="shared" ref="F19" si="1">F16+F17</f>
        <v>7900</v>
      </c>
      <c r="G19" s="81"/>
    </row>
    <row r="20" spans="1:7" ht="16" thickBot="1" x14ac:dyDescent="0.4"/>
    <row r="21" spans="1:7" x14ac:dyDescent="0.35">
      <c r="A21" s="93" t="s">
        <v>64</v>
      </c>
      <c r="B21" s="95"/>
      <c r="C21" s="73"/>
      <c r="D21" s="84" t="s">
        <v>27</v>
      </c>
      <c r="E21" s="84" t="s">
        <v>54</v>
      </c>
      <c r="F21" s="94" t="s">
        <v>55</v>
      </c>
    </row>
    <row r="22" spans="1:7" x14ac:dyDescent="0.35">
      <c r="A22" s="74" t="s">
        <v>62</v>
      </c>
      <c r="B22" s="79"/>
      <c r="D22" s="80">
        <f>E22+F22</f>
        <v>16000</v>
      </c>
      <c r="E22" s="80">
        <f>E6</f>
        <v>4000</v>
      </c>
      <c r="F22" s="99">
        <f>F6</f>
        <v>12000</v>
      </c>
    </row>
    <row r="23" spans="1:7" ht="16" thickBot="1" x14ac:dyDescent="0.4">
      <c r="A23" s="74" t="s">
        <v>40</v>
      </c>
      <c r="B23" s="79"/>
      <c r="C23" s="96"/>
      <c r="D23" s="80">
        <f>E23+F23</f>
        <v>66360</v>
      </c>
      <c r="E23" s="80">
        <f>E8</f>
        <v>12000</v>
      </c>
      <c r="F23" s="99">
        <f>F8</f>
        <v>54360</v>
      </c>
    </row>
    <row r="24" spans="1:7" ht="16" thickBot="1" x14ac:dyDescent="0.4">
      <c r="A24" s="100" t="s">
        <v>41</v>
      </c>
      <c r="B24" s="101"/>
      <c r="C24" s="102"/>
      <c r="D24" s="103">
        <f>D22+D23</f>
        <v>82360</v>
      </c>
      <c r="E24" s="103">
        <f>E22+E23</f>
        <v>16000</v>
      </c>
      <c r="F24" s="104">
        <f t="shared" ref="F24" si="2">F22+F23</f>
        <v>66360</v>
      </c>
    </row>
    <row r="25" spans="1:7" x14ac:dyDescent="0.35">
      <c r="A25" s="74" t="s">
        <v>58</v>
      </c>
      <c r="B25" s="79"/>
      <c r="E25" s="105">
        <f>E19</f>
        <v>8000</v>
      </c>
      <c r="F25" s="106">
        <f t="shared" ref="F25" si="3">F19</f>
        <v>7900</v>
      </c>
    </row>
    <row r="26" spans="1:7" ht="16" thickBot="1" x14ac:dyDescent="0.4">
      <c r="A26" s="76" t="s">
        <v>42</v>
      </c>
      <c r="B26" s="82"/>
      <c r="C26" s="78"/>
      <c r="D26" s="107">
        <f>SUM(E26:F26)</f>
        <v>10.4</v>
      </c>
      <c r="E26" s="108">
        <f>E24/E25</f>
        <v>2</v>
      </c>
      <c r="F26" s="109">
        <f t="shared" ref="F26" si="4">F24/F25</f>
        <v>8.4</v>
      </c>
      <c r="G26" s="81"/>
    </row>
    <row r="27" spans="1:7" ht="16" thickBot="1" x14ac:dyDescent="0.4">
      <c r="B27" s="83"/>
      <c r="E27" s="71"/>
      <c r="F27" s="71"/>
    </row>
    <row r="28" spans="1:7" x14ac:dyDescent="0.35">
      <c r="A28" s="93"/>
      <c r="B28" s="84"/>
      <c r="C28" s="73"/>
      <c r="D28" s="84" t="s">
        <v>27</v>
      </c>
      <c r="E28" s="84" t="s">
        <v>54</v>
      </c>
      <c r="F28" s="94" t="s">
        <v>55</v>
      </c>
    </row>
    <row r="29" spans="1:7" x14ac:dyDescent="0.35">
      <c r="A29" s="74" t="s">
        <v>60</v>
      </c>
      <c r="E29" s="54"/>
      <c r="F29" s="113"/>
    </row>
    <row r="30" spans="1:7" x14ac:dyDescent="0.35">
      <c r="A30" s="110" t="s">
        <v>43</v>
      </c>
      <c r="D30" s="80">
        <f>SUM(E30:F30)</f>
        <v>78000</v>
      </c>
      <c r="E30" s="80">
        <f>E16*E26</f>
        <v>15000</v>
      </c>
      <c r="F30" s="99">
        <f>F26*F16</f>
        <v>63000</v>
      </c>
      <c r="G30" s="81"/>
    </row>
    <row r="31" spans="1:7" ht="16" thickBot="1" x14ac:dyDescent="0.4">
      <c r="A31" s="110" t="s">
        <v>61</v>
      </c>
      <c r="D31" s="80">
        <f>E31+F31</f>
        <v>4360</v>
      </c>
      <c r="E31" s="80">
        <f>E26*E17</f>
        <v>1000</v>
      </c>
      <c r="F31" s="99">
        <f>F26*F17</f>
        <v>3360</v>
      </c>
      <c r="G31" s="81"/>
    </row>
    <row r="32" spans="1:7" ht="16" thickBot="1" x14ac:dyDescent="0.4">
      <c r="A32" s="111" t="s">
        <v>32</v>
      </c>
      <c r="B32" s="112"/>
      <c r="C32" s="102"/>
      <c r="D32" s="103">
        <f>E32+F32</f>
        <v>82360</v>
      </c>
      <c r="E32" s="103">
        <f>E30+E31</f>
        <v>16000</v>
      </c>
      <c r="F32" s="104">
        <f t="shared" ref="F32" si="5">F30+F31</f>
        <v>66360</v>
      </c>
    </row>
  </sheetData>
  <mergeCells count="5">
    <mergeCell ref="A1:G1"/>
    <mergeCell ref="A2:G2"/>
    <mergeCell ref="E4:G4"/>
    <mergeCell ref="A11:G11"/>
    <mergeCell ref="E14:F14"/>
  </mergeCells>
  <pageMargins left="0.70866141732283472" right="0.70866141732283472" top="0.74803149606299213" bottom="0.74803149606299213" header="0.31496062992125984" footer="0.31496062992125984"/>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3DE6D-06FF-41DF-A5E7-D874A010E6AF}">
  <sheetPr>
    <tabColor rgb="FFFFFF00"/>
    <pageSetUpPr fitToPage="1"/>
  </sheetPr>
  <dimension ref="A1:H7"/>
  <sheetViews>
    <sheetView showGridLines="0" zoomScaleNormal="100" workbookViewId="0">
      <selection activeCell="K5" sqref="K5"/>
    </sheetView>
  </sheetViews>
  <sheetFormatPr defaultColWidth="8.81640625" defaultRowHeight="15.5" x14ac:dyDescent="0.35"/>
  <cols>
    <col min="1" max="1" width="35.453125" style="4" customWidth="1"/>
    <col min="2" max="2" width="11.08984375" style="71" customWidth="1"/>
    <col min="3" max="3" width="3" style="4" customWidth="1"/>
    <col min="4" max="4" width="10.81640625" style="4" customWidth="1"/>
    <col min="5" max="8" width="13.453125" style="4" customWidth="1"/>
    <col min="9" max="10" width="8.81640625" style="4"/>
    <col min="11" max="13" width="10.453125" style="4" bestFit="1" customWidth="1"/>
    <col min="14" max="14" width="8.81640625" style="4"/>
    <col min="15" max="15" width="9.08984375" style="4" bestFit="1" customWidth="1"/>
    <col min="16" max="16384" width="8.81640625" style="4"/>
  </cols>
  <sheetData>
    <row r="1" spans="1:8" ht="30.5" customHeight="1" x14ac:dyDescent="0.35">
      <c r="A1" s="115" t="s">
        <v>35</v>
      </c>
      <c r="B1" s="115"/>
      <c r="C1" s="115"/>
      <c r="D1" s="115"/>
      <c r="E1" s="115"/>
      <c r="F1" s="115"/>
      <c r="G1" s="115"/>
      <c r="H1" s="115"/>
    </row>
    <row r="2" spans="1:8" ht="40.25" customHeight="1" x14ac:dyDescent="0.35">
      <c r="A2" s="117" t="s">
        <v>49</v>
      </c>
      <c r="B2" s="117"/>
      <c r="C2" s="117"/>
      <c r="D2" s="117"/>
      <c r="E2" s="117"/>
      <c r="F2" s="117"/>
      <c r="G2" s="117"/>
      <c r="H2" s="117"/>
    </row>
    <row r="3" spans="1:8" ht="180" customHeight="1" x14ac:dyDescent="0.35">
      <c r="A3" s="121"/>
      <c r="B3" s="121"/>
      <c r="C3" s="121"/>
      <c r="D3" s="121"/>
      <c r="E3" s="121"/>
      <c r="F3" s="121"/>
      <c r="G3" s="121"/>
      <c r="H3" s="121"/>
    </row>
    <row r="5" spans="1:8" ht="180" customHeight="1" x14ac:dyDescent="0.35">
      <c r="A5" s="121"/>
      <c r="B5" s="121"/>
      <c r="C5" s="121"/>
      <c r="D5" s="121"/>
      <c r="E5" s="121"/>
      <c r="F5" s="121"/>
      <c r="G5" s="121"/>
      <c r="H5" s="121"/>
    </row>
    <row r="7" spans="1:8" ht="180" customHeight="1" x14ac:dyDescent="0.35">
      <c r="A7" s="121"/>
      <c r="B7" s="121"/>
      <c r="C7" s="121"/>
      <c r="D7" s="121"/>
      <c r="E7" s="121"/>
      <c r="F7" s="121"/>
      <c r="G7" s="121"/>
      <c r="H7" s="121"/>
    </row>
  </sheetData>
  <mergeCells count="5">
    <mergeCell ref="A1:H1"/>
    <mergeCell ref="A2:H2"/>
    <mergeCell ref="A3:H3"/>
    <mergeCell ref="A5:H5"/>
    <mergeCell ref="A7:H7"/>
  </mergeCells>
  <pageMargins left="0.19685039370078741" right="0.19685039370078741" top="0.19685039370078741" bottom="0.19685039370078741" header="0.31496062992125984" footer="0.31496062992125984"/>
  <pageSetup paperSize="9" scale="8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H7"/>
  <sheetViews>
    <sheetView showGridLines="0" topLeftCell="A4" zoomScaleNormal="100" workbookViewId="0">
      <selection activeCell="A5" sqref="A5:H5"/>
    </sheetView>
  </sheetViews>
  <sheetFormatPr defaultColWidth="8.81640625" defaultRowHeight="15.5" x14ac:dyDescent="0.35"/>
  <cols>
    <col min="1" max="1" width="35.453125" style="4" customWidth="1"/>
    <col min="2" max="2" width="11.08984375" style="71" customWidth="1"/>
    <col min="3" max="3" width="3" style="4" customWidth="1"/>
    <col min="4" max="4" width="10.81640625" style="4" customWidth="1"/>
    <col min="5" max="8" width="13.453125" style="4" customWidth="1"/>
    <col min="9" max="10" width="8.81640625" style="4"/>
    <col min="11" max="13" width="10.453125" style="4" bestFit="1" customWidth="1"/>
    <col min="14" max="14" width="8.81640625" style="4"/>
    <col min="15" max="15" width="9.08984375" style="4" bestFit="1" customWidth="1"/>
    <col min="16" max="16384" width="8.81640625" style="4"/>
  </cols>
  <sheetData>
    <row r="1" spans="1:8" ht="30.5" customHeight="1" x14ac:dyDescent="0.35">
      <c r="A1" s="115" t="s">
        <v>35</v>
      </c>
      <c r="B1" s="115"/>
      <c r="C1" s="115"/>
      <c r="D1" s="115"/>
      <c r="E1" s="115"/>
      <c r="F1" s="115"/>
      <c r="G1" s="115"/>
      <c r="H1" s="115"/>
    </row>
    <row r="2" spans="1:8" ht="40.25" customHeight="1" x14ac:dyDescent="0.35">
      <c r="A2" s="117" t="s">
        <v>49</v>
      </c>
      <c r="B2" s="117"/>
      <c r="C2" s="117"/>
      <c r="D2" s="117"/>
      <c r="E2" s="117"/>
      <c r="F2" s="117"/>
      <c r="G2" s="117"/>
      <c r="H2" s="117"/>
    </row>
    <row r="3" spans="1:8" ht="180" customHeight="1" x14ac:dyDescent="0.35">
      <c r="A3" s="121" t="s">
        <v>65</v>
      </c>
      <c r="B3" s="121"/>
      <c r="C3" s="121"/>
      <c r="D3" s="121"/>
      <c r="E3" s="121"/>
      <c r="F3" s="121"/>
      <c r="G3" s="121"/>
      <c r="H3" s="121"/>
    </row>
    <row r="5" spans="1:8" ht="180" customHeight="1" x14ac:dyDescent="0.35">
      <c r="A5" s="121" t="s">
        <v>66</v>
      </c>
      <c r="B5" s="121"/>
      <c r="C5" s="121"/>
      <c r="D5" s="121"/>
      <c r="E5" s="121"/>
      <c r="F5" s="121"/>
      <c r="G5" s="121"/>
      <c r="H5" s="121"/>
    </row>
    <row r="7" spans="1:8" ht="180" customHeight="1" x14ac:dyDescent="0.35">
      <c r="A7" s="121"/>
      <c r="B7" s="121"/>
      <c r="C7" s="121"/>
      <c r="D7" s="121"/>
      <c r="E7" s="121"/>
      <c r="F7" s="121"/>
      <c r="G7" s="121"/>
      <c r="H7" s="121"/>
    </row>
  </sheetData>
  <mergeCells count="5">
    <mergeCell ref="A7:H7"/>
    <mergeCell ref="A1:H1"/>
    <mergeCell ref="A2:H2"/>
    <mergeCell ref="A5:H5"/>
    <mergeCell ref="A3:H3"/>
  </mergeCells>
  <pageMargins left="0.19685039370078741" right="0.19685039370078741" top="0.19685039370078741" bottom="0.19685039370078741" header="0.31496062992125984" footer="0.31496062992125984"/>
  <pageSetup paperSize="9" scale="8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9D260-570E-46C3-AC32-B92644BB4DFE}">
  <sheetPr>
    <tabColor rgb="FFFFFF00"/>
    <pageSetUpPr fitToPage="1"/>
  </sheetPr>
  <dimension ref="A1:H7"/>
  <sheetViews>
    <sheetView showGridLines="0" tabSelected="1" zoomScaleNormal="100" workbookViewId="0">
      <selection activeCell="K5" sqref="K5"/>
    </sheetView>
  </sheetViews>
  <sheetFormatPr defaultColWidth="8.81640625" defaultRowHeight="15.5" x14ac:dyDescent="0.35"/>
  <cols>
    <col min="1" max="1" width="35.453125" style="4" customWidth="1"/>
    <col min="2" max="2" width="11.08984375" style="71" customWidth="1"/>
    <col min="3" max="3" width="3" style="4" customWidth="1"/>
    <col min="4" max="4" width="10.81640625" style="4" customWidth="1"/>
    <col min="5" max="8" width="13.453125" style="4" customWidth="1"/>
    <col min="9" max="10" width="8.81640625" style="4"/>
    <col min="11" max="13" width="10.453125" style="4" bestFit="1" customWidth="1"/>
    <col min="14" max="14" width="8.81640625" style="4"/>
    <col min="15" max="15" width="9.08984375" style="4" bestFit="1" customWidth="1"/>
    <col min="16" max="16384" width="8.81640625" style="4"/>
  </cols>
  <sheetData>
    <row r="1" spans="1:8" ht="30.5" customHeight="1" x14ac:dyDescent="0.35">
      <c r="A1" s="115" t="s">
        <v>37</v>
      </c>
      <c r="B1" s="115"/>
      <c r="C1" s="115"/>
      <c r="D1" s="115"/>
      <c r="E1" s="115"/>
      <c r="F1" s="115"/>
      <c r="G1" s="115"/>
      <c r="H1" s="115"/>
    </row>
    <row r="2" spans="1:8" ht="40.25" customHeight="1" x14ac:dyDescent="0.35">
      <c r="A2" s="117" t="s">
        <v>36</v>
      </c>
      <c r="B2" s="117"/>
      <c r="C2" s="117"/>
      <c r="D2" s="117"/>
      <c r="E2" s="117"/>
      <c r="F2" s="117"/>
      <c r="G2" s="117"/>
      <c r="H2" s="117"/>
    </row>
    <row r="3" spans="1:8" ht="180" customHeight="1" x14ac:dyDescent="0.35">
      <c r="A3" s="121" t="s">
        <v>68</v>
      </c>
      <c r="B3" s="121"/>
      <c r="C3" s="121"/>
      <c r="D3" s="121"/>
      <c r="E3" s="121"/>
      <c r="F3" s="121"/>
      <c r="G3" s="121"/>
      <c r="H3" s="121"/>
    </row>
    <row r="5" spans="1:8" ht="180" customHeight="1" x14ac:dyDescent="0.35">
      <c r="A5" s="121"/>
      <c r="B5" s="121"/>
      <c r="C5" s="121"/>
      <c r="D5" s="121"/>
      <c r="E5" s="121"/>
      <c r="F5" s="121"/>
      <c r="G5" s="121"/>
      <c r="H5" s="121"/>
    </row>
    <row r="7" spans="1:8" ht="180" customHeight="1" x14ac:dyDescent="0.35">
      <c r="A7" s="121"/>
      <c r="B7" s="121"/>
      <c r="C7" s="121"/>
      <c r="D7" s="121"/>
      <c r="E7" s="121"/>
      <c r="F7" s="121"/>
      <c r="G7" s="121"/>
      <c r="H7" s="121"/>
    </row>
  </sheetData>
  <mergeCells count="5">
    <mergeCell ref="A1:H1"/>
    <mergeCell ref="A2:H2"/>
    <mergeCell ref="A3:H3"/>
    <mergeCell ref="A5:H5"/>
    <mergeCell ref="A7:H7"/>
  </mergeCells>
  <pageMargins left="0.19685039370078741" right="0.19685039370078741" top="0.19685039370078741" bottom="0.19685039370078741" header="0.31496062992125984" footer="0.31496062992125984"/>
  <pageSetup paperSize="9" scale="8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H7"/>
  <sheetViews>
    <sheetView showGridLines="0" zoomScaleNormal="100" workbookViewId="0">
      <selection activeCell="J3" sqref="J3"/>
    </sheetView>
  </sheetViews>
  <sheetFormatPr defaultColWidth="8.81640625" defaultRowHeight="15.5" x14ac:dyDescent="0.35"/>
  <cols>
    <col min="1" max="1" width="35.453125" style="4" customWidth="1"/>
    <col min="2" max="2" width="11.08984375" style="71" customWidth="1"/>
    <col min="3" max="3" width="3" style="4" customWidth="1"/>
    <col min="4" max="4" width="10.81640625" style="4" customWidth="1"/>
    <col min="5" max="8" width="13.453125" style="4" customWidth="1"/>
    <col min="9" max="10" width="8.81640625" style="4"/>
    <col min="11" max="13" width="10.453125" style="4" bestFit="1" customWidth="1"/>
    <col min="14" max="14" width="8.81640625" style="4"/>
    <col min="15" max="15" width="9.08984375" style="4" bestFit="1" customWidth="1"/>
    <col min="16" max="16384" width="8.81640625" style="4"/>
  </cols>
  <sheetData>
    <row r="1" spans="1:8" ht="30.5" customHeight="1" x14ac:dyDescent="0.35">
      <c r="A1" s="115" t="s">
        <v>37</v>
      </c>
      <c r="B1" s="115"/>
      <c r="C1" s="115"/>
      <c r="D1" s="115"/>
      <c r="E1" s="115"/>
      <c r="F1" s="115"/>
      <c r="G1" s="115"/>
      <c r="H1" s="115"/>
    </row>
    <row r="2" spans="1:8" ht="40.25" customHeight="1" x14ac:dyDescent="0.35">
      <c r="A2" s="117" t="s">
        <v>36</v>
      </c>
      <c r="B2" s="117"/>
      <c r="C2" s="117"/>
      <c r="D2" s="117"/>
      <c r="E2" s="117"/>
      <c r="F2" s="117"/>
      <c r="G2" s="117"/>
      <c r="H2" s="117"/>
    </row>
    <row r="3" spans="1:8" ht="180" customHeight="1" x14ac:dyDescent="0.35">
      <c r="A3" s="121" t="s">
        <v>67</v>
      </c>
      <c r="B3" s="121"/>
      <c r="C3" s="121"/>
      <c r="D3" s="121"/>
      <c r="E3" s="121"/>
      <c r="F3" s="121"/>
      <c r="G3" s="121"/>
      <c r="H3" s="121"/>
    </row>
    <row r="5" spans="1:8" ht="180" customHeight="1" x14ac:dyDescent="0.35">
      <c r="A5" s="121"/>
      <c r="B5" s="121"/>
      <c r="C5" s="121"/>
      <c r="D5" s="121"/>
      <c r="E5" s="121"/>
      <c r="F5" s="121"/>
      <c r="G5" s="121"/>
      <c r="H5" s="121"/>
    </row>
    <row r="7" spans="1:8" ht="180" customHeight="1" x14ac:dyDescent="0.35">
      <c r="A7" s="121"/>
      <c r="B7" s="121"/>
      <c r="C7" s="121"/>
      <c r="D7" s="121"/>
      <c r="E7" s="121"/>
      <c r="F7" s="121"/>
      <c r="G7" s="121"/>
      <c r="H7" s="121"/>
    </row>
  </sheetData>
  <mergeCells count="5">
    <mergeCell ref="A1:H1"/>
    <mergeCell ref="A2:H2"/>
    <mergeCell ref="A3:H3"/>
    <mergeCell ref="A5:H5"/>
    <mergeCell ref="A7:H7"/>
  </mergeCells>
  <pageMargins left="0.19685039370078741" right="0.19685039370078741" top="0.19685039370078741" bottom="0.19685039370078741" header="0.31496062992125984" footer="0.31496062992125984"/>
  <pageSetup paperSize="9" scale="87"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9</vt:i4>
      </vt:variant>
    </vt:vector>
  </HeadingPairs>
  <TitlesOfParts>
    <vt:vector size="9" baseType="lpstr">
      <vt:lpstr>Anagrafica</vt:lpstr>
      <vt:lpstr>Esercizio 1</vt:lpstr>
      <vt:lpstr>CON SOLUZ-Esercizio 1</vt:lpstr>
      <vt:lpstr>Esercizio 2</vt:lpstr>
      <vt:lpstr>CON SOLUZ-Esercizio 2</vt:lpstr>
      <vt:lpstr>Domanda 1</vt:lpstr>
      <vt:lpstr>CON SOLUZ-Domanda 1</vt:lpstr>
      <vt:lpstr>Domanda 2</vt:lpstr>
      <vt:lpstr>CON SOLUZ-Domanda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 Ghezzi</dc:creator>
  <cp:lastModifiedBy>Federico Mattavelli</cp:lastModifiedBy>
  <cp:lastPrinted>2022-06-22T11:23:35Z</cp:lastPrinted>
  <dcterms:created xsi:type="dcterms:W3CDTF">2021-05-24T10:30:56Z</dcterms:created>
  <dcterms:modified xsi:type="dcterms:W3CDTF">2023-02-11T17:43:56Z</dcterms:modified>
</cp:coreProperties>
</file>