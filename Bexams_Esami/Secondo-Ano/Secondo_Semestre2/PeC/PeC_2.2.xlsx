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occoni - appunti e dispense\Secondo Anno - II Semestre\Programmazione e Controllo\"/>
    </mc:Choice>
  </mc:AlternateContent>
  <xr:revisionPtr revIDLastSave="0" documentId="13_ncr:1_{7EC58FD3-39F4-4903-BAB3-BA57225DA26E}" xr6:coauthVersionLast="47" xr6:coauthVersionMax="47" xr10:uidLastSave="{00000000-0000-0000-0000-000000000000}"/>
  <bookViews>
    <workbookView xWindow="-108" yWindow="-108" windowWidth="23256" windowHeight="12576" firstSheet="1" activeTab="7" xr2:uid="{24419EC8-C15F-43CE-8362-50D98C9E919B}"/>
  </bookViews>
  <sheets>
    <sheet name="Anagrafica" sheetId="4" r:id="rId1"/>
    <sheet name="Esercizio 1" sheetId="1" r:id="rId2"/>
    <sheet name="Soluzione 1" sheetId="3" r:id="rId3"/>
    <sheet name="Esercizio 2" sheetId="5" r:id="rId4"/>
    <sheet name="Soluzione 2" sheetId="6" r:id="rId5"/>
    <sheet name="Domanda 1" sheetId="7" r:id="rId6"/>
    <sheet name="Risposta 1" sheetId="9" r:id="rId7"/>
    <sheet name="Domanda 2" sheetId="8" r:id="rId8"/>
    <sheet name="Risposta 2" sheetId="10" r:id="rId9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3" i="6" l="1"/>
  <c r="E52" i="6"/>
  <c r="F50" i="6"/>
  <c r="F36" i="6"/>
  <c r="F37" i="6"/>
  <c r="F38" i="6"/>
  <c r="F40" i="6"/>
  <c r="F41" i="6"/>
  <c r="F42" i="6"/>
  <c r="F43" i="6"/>
  <c r="F44" i="6"/>
  <c r="F46" i="6"/>
  <c r="F47" i="6"/>
  <c r="F48" i="6"/>
  <c r="F35" i="6"/>
  <c r="F49" i="6"/>
  <c r="E48" i="6"/>
  <c r="D48" i="6"/>
  <c r="E44" i="6"/>
  <c r="D44" i="6"/>
  <c r="D42" i="6"/>
  <c r="D47" i="6"/>
  <c r="E46" i="6"/>
  <c r="D46" i="6"/>
  <c r="E43" i="6"/>
  <c r="D43" i="6"/>
  <c r="D41" i="6"/>
  <c r="D40" i="6"/>
  <c r="D37" i="6"/>
  <c r="E36" i="6"/>
  <c r="D36" i="6"/>
  <c r="D38" i="6" s="1"/>
  <c r="E35" i="6"/>
  <c r="E47" i="6" s="1"/>
  <c r="D35" i="6"/>
  <c r="E37" i="6" l="1"/>
  <c r="E38" i="6" s="1"/>
  <c r="E41" i="6"/>
  <c r="H37" i="3"/>
  <c r="F37" i="3"/>
  <c r="G37" i="3"/>
  <c r="E37" i="3"/>
  <c r="H36" i="3" l="1"/>
  <c r="F36" i="3"/>
  <c r="G36" i="3"/>
  <c r="E36" i="3"/>
  <c r="H35" i="3"/>
  <c r="F35" i="3"/>
  <c r="G35" i="3"/>
  <c r="E35" i="3"/>
  <c r="H34" i="3"/>
  <c r="F34" i="3"/>
  <c r="G34" i="3"/>
  <c r="E34" i="3"/>
  <c r="F32" i="3"/>
  <c r="G32" i="3"/>
  <c r="H32" i="3"/>
  <c r="E32" i="3"/>
  <c r="H31" i="3"/>
  <c r="G31" i="3"/>
  <c r="F31" i="3"/>
  <c r="E31" i="3"/>
  <c r="H30" i="3"/>
  <c r="F30" i="3"/>
  <c r="E30" i="3"/>
  <c r="D27" i="3"/>
  <c r="H18" i="3"/>
  <c r="G18" i="3"/>
  <c r="F18" i="3"/>
  <c r="E18" i="3"/>
  <c r="D18" i="3"/>
  <c r="H17" i="3"/>
  <c r="H15" i="3"/>
  <c r="F18" i="1"/>
  <c r="G18" i="1"/>
  <c r="E18" i="1"/>
  <c r="H17" i="1"/>
  <c r="H15" i="1"/>
  <c r="H18" i="1" s="1"/>
  <c r="D18" i="1"/>
</calcChain>
</file>

<file path=xl/sharedStrings.xml><?xml version="1.0" encoding="utf-8"?>
<sst xmlns="http://schemas.openxmlformats.org/spreadsheetml/2006/main" count="159" uniqueCount="86">
  <si>
    <t>La FruitsGel produce caramelle gommose alla frutta, la cui produzione si articola</t>
  </si>
  <si>
    <t>in sequenza obbligata sui reparti di Addensamento e Confezionamento. La frutta</t>
  </si>
  <si>
    <t xml:space="preserve">e le altre materie prime vengono anzitutto inserite nel reparto Addensamento, </t>
  </si>
  <si>
    <t xml:space="preserve">cui segue il confezionamento. </t>
  </si>
  <si>
    <t>Nel reparto Addensamento le risorse sono così impiegate:</t>
  </si>
  <si>
    <t>- Frutta ed altre materie prime vengono inserite ad inizio processo</t>
  </si>
  <si>
    <t>- Gli addensanti ed altre materie ausiliarie sono inserite al 90% del processo</t>
  </si>
  <si>
    <t>- I costi di trasformazione sono impiegati linearmente, con l'avanzare del processo</t>
  </si>
  <si>
    <t>Nella seguente tabella sono raccolte le informazioni sull'Addensamento di Maggio:</t>
  </si>
  <si>
    <t>Unità avviate</t>
  </si>
  <si>
    <t>Costi aggiuntivi</t>
  </si>
  <si>
    <t>WIP - Rimanenze Iniziali</t>
  </si>
  <si>
    <t>%Complet.</t>
  </si>
  <si>
    <t>Unità finite</t>
  </si>
  <si>
    <t>Totale</t>
  </si>
  <si>
    <t>Costi</t>
  </si>
  <si>
    <t>Frutta e altre materie prime</t>
  </si>
  <si>
    <t>Costi di trasformaz</t>
  </si>
  <si>
    <t>Costi materie ausiliarie</t>
  </si>
  <si>
    <t>DOMANDE:</t>
  </si>
  <si>
    <t>Sapendo le unità completate sono pari a 8400 e le rimanenze a fine maggio sono complete</t>
  </si>
  <si>
    <t>all'85%, si proceda a calcolare:</t>
  </si>
  <si>
    <t>- UEP del reparto Addensamento</t>
  </si>
  <si>
    <t>- costo delle unità trasferite in Confezionamento</t>
  </si>
  <si>
    <t>- il costo delle unità completate in Addensamento</t>
  </si>
  <si>
    <t>Esercizio 1 (5 punti)</t>
  </si>
  <si>
    <t>RF SL</t>
  </si>
  <si>
    <t>Completate</t>
  </si>
  <si>
    <t>UEP</t>
  </si>
  <si>
    <t>Costo un</t>
  </si>
  <si>
    <t>Nome</t>
  </si>
  <si>
    <t>Cognome</t>
  </si>
  <si>
    <t>Matricola</t>
  </si>
  <si>
    <t>Classe</t>
  </si>
  <si>
    <t>Esame di Programmazione &amp; Controllo - Simulazione
Secondo Appello</t>
  </si>
  <si>
    <t>Esercizio 2 (4 punti)</t>
  </si>
  <si>
    <t>La Hinhard commercializza utensili da giardinaggio, venduti fra due divisioni, ovvero</t>
  </si>
  <si>
    <t>la Standard e la Professional. Ciascuna divisione è gestita da un direttore con</t>
  </si>
  <si>
    <t>responsabilità di profitto commerciale, che include le iniziative pubblicitarie.</t>
  </si>
  <si>
    <t>Si registrano i seguenti dati consuntivi:</t>
  </si>
  <si>
    <t>Unità vendute</t>
  </si>
  <si>
    <t>Prezzo medio in euro</t>
  </si>
  <si>
    <t>Incidenza percentuale del Costo del Venduto</t>
  </si>
  <si>
    <t>Standard</t>
  </si>
  <si>
    <t>Professional</t>
  </si>
  <si>
    <t>Si rileva inoltre che l'azienda nell'esercizio concluso ha indetto una campagna</t>
  </si>
  <si>
    <t xml:space="preserve">pubblicitaria per 128.000 euro. Ha inoltre registrato varianze sfavorevoli sui Costi Variabili </t>
  </si>
  <si>
    <t xml:space="preserve">di produzione pari a 104.000 euro per Standard e 78.000 euro per Professional, </t>
  </si>
  <si>
    <t>nonché varianze sfavorevoli sui costi commerciali di 9800 euro per Standard.</t>
  </si>
  <si>
    <t>Entrambe le divisioni si sono avvalse rispettivamente di 2 e 4 venditori dal costo</t>
  </si>
  <si>
    <t>unitario di 45.000 euro annui, cui hanno altresì erogato un bonus del 10% del fatturato.</t>
  </si>
  <si>
    <t>Entrambe hanno altresì investito il 15% in pubblicità, nonché, su istruzione dell'alta</t>
  </si>
  <si>
    <t>dirigenza, l'8% del fatturato in formazione. Si registrano poi 205.000 euro in costi</t>
  </si>
  <si>
    <t>generali ed amministrativi.</t>
  </si>
  <si>
    <t xml:space="preserve">- Margine di contribuzione </t>
  </si>
  <si>
    <t>Sulla base delle informazioni fornite, si rilevino per ciascuna Area di Risultato:</t>
  </si>
  <si>
    <t>- Margine di segmento</t>
  </si>
  <si>
    <t>- Margine controllabile</t>
  </si>
  <si>
    <t>- Risultato Economico</t>
  </si>
  <si>
    <t>Ipotizzando poi che venga data ai direttori la responsabilità di investimento,</t>
  </si>
  <si>
    <t>si rilevino la Redditività delle Vendite e l'Asset Turnover della divisione Professional,</t>
  </si>
  <si>
    <t>a fronte di un capitale investito di 2.800.000 euro.</t>
  </si>
  <si>
    <t>Ricavi</t>
  </si>
  <si>
    <t>CDV</t>
  </si>
  <si>
    <t>Provvigioni</t>
  </si>
  <si>
    <t>MdC</t>
  </si>
  <si>
    <t>Venditori</t>
  </si>
  <si>
    <t>Margine cntrl</t>
  </si>
  <si>
    <t>Varianze comm</t>
  </si>
  <si>
    <t>Varianze prod</t>
  </si>
  <si>
    <t>Formazione</t>
  </si>
  <si>
    <t>Margine segm</t>
  </si>
  <si>
    <t>RO</t>
  </si>
  <si>
    <t>generali ed amministrativi. I direttori sono retribuiti 120.000 in Standard e 150.000 in Professional</t>
  </si>
  <si>
    <t>Pubblicità spec</t>
  </si>
  <si>
    <t>Stipendio dirett</t>
  </si>
  <si>
    <t>Costi fissi specifici:</t>
  </si>
  <si>
    <t>Costi specifici non controllabili:</t>
  </si>
  <si>
    <t>Costi non allocati</t>
  </si>
  <si>
    <t>ROS</t>
  </si>
  <si>
    <t>AT</t>
  </si>
  <si>
    <t xml:space="preserve">Si descrivano il metodo diretto e il metodo sequenziale nella allocazione </t>
  </si>
  <si>
    <t xml:space="preserve">dei costi delle unità di servizi, evidenziandone pregi e limiti. </t>
  </si>
  <si>
    <t>Domanda 1 (2 punti)</t>
  </si>
  <si>
    <t>Si descrivano le differenze fra sistema JOCAS e Process Costing</t>
  </si>
  <si>
    <t>Vedere teoria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</si>
</sst>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i/>
      <sz val="12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i/>
      <sz val="12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0">
    <xf numFmtId="0" fontId="0" fillId="0" borderId="0" xfId="0"/>
    <xf numFmtId="0" fontId="2" fillId="2" borderId="0" xfId="0" applyFont="1" applyFill="1"/>
    <xf numFmtId="0" fontId="2" fillId="3" borderId="0" xfId="0" applyFont="1" applyFill="1"/>
    <xf numFmtId="0" fontId="3" fillId="3" borderId="0" xfId="0" applyFont="1" applyFill="1"/>
    <xf numFmtId="0" fontId="2" fillId="2" borderId="1" xfId="0" applyFont="1" applyFill="1" applyBorder="1"/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/>
    <xf numFmtId="0" fontId="2" fillId="3" borderId="0" xfId="0" quotePrefix="1" applyFont="1" applyFill="1"/>
    <xf numFmtId="0" fontId="4" fillId="3" borderId="0" xfId="0" applyFont="1" applyFill="1"/>
    <xf numFmtId="0" fontId="4" fillId="2" borderId="0" xfId="0" applyFont="1" applyFill="1"/>
    <xf numFmtId="2" fontId="2" fillId="2" borderId="0" xfId="0" applyNumberFormat="1" applyFont="1" applyFill="1"/>
    <xf numFmtId="2" fontId="4" fillId="2" borderId="0" xfId="0" applyNumberFormat="1" applyFont="1" applyFill="1"/>
    <xf numFmtId="164" fontId="2" fillId="2" borderId="0" xfId="0" applyNumberFormat="1" applyFont="1" applyFill="1"/>
    <xf numFmtId="9" fontId="2" fillId="2" borderId="2" xfId="1" applyFont="1" applyFill="1" applyBorder="1" applyAlignment="1">
      <alignment horizontal="center"/>
    </xf>
    <xf numFmtId="9" fontId="2" fillId="2" borderId="3" xfId="1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5" xfId="0" applyFont="1" applyFill="1" applyBorder="1" applyAlignment="1">
      <alignment vertical="top" wrapText="1"/>
    </xf>
    <xf numFmtId="0" fontId="5" fillId="4" borderId="5" xfId="0" applyFont="1" applyFill="1" applyBorder="1" applyAlignment="1">
      <alignment horizontal="left" vertical="top" wrapText="1"/>
    </xf>
    <xf numFmtId="0" fontId="6" fillId="3" borderId="0" xfId="0" applyFont="1" applyFill="1" applyAlignment="1">
      <alignment horizontal="center" vertical="center" wrapText="1"/>
    </xf>
    <xf numFmtId="0" fontId="6" fillId="3" borderId="4" xfId="0" applyFont="1" applyFill="1" applyBorder="1" applyAlignment="1">
      <alignment vertical="top" wrapText="1"/>
    </xf>
    <xf numFmtId="0" fontId="5" fillId="2" borderId="0" xfId="0" applyFont="1" applyFill="1"/>
    <xf numFmtId="0" fontId="6" fillId="2" borderId="0" xfId="0" applyFont="1" applyFill="1"/>
    <xf numFmtId="9" fontId="2" fillId="2" borderId="1" xfId="0" applyNumberFormat="1" applyFont="1" applyFill="1" applyBorder="1"/>
    <xf numFmtId="0" fontId="2" fillId="2" borderId="6" xfId="0" applyFont="1" applyFill="1" applyBorder="1"/>
    <xf numFmtId="0" fontId="2" fillId="2" borderId="7" xfId="0" applyFont="1" applyFill="1" applyBorder="1"/>
    <xf numFmtId="0" fontId="2" fillId="2" borderId="8" xfId="0" applyFont="1" applyFill="1" applyBorder="1"/>
    <xf numFmtId="0" fontId="2" fillId="2" borderId="9" xfId="0" applyFont="1" applyFill="1" applyBorder="1"/>
    <xf numFmtId="0" fontId="2" fillId="2" borderId="0" xfId="0" applyFont="1" applyFill="1" applyBorder="1"/>
    <xf numFmtId="0" fontId="2" fillId="2" borderId="10" xfId="0" applyFont="1" applyFill="1" applyBorder="1"/>
    <xf numFmtId="0" fontId="2" fillId="2" borderId="11" xfId="0" applyFont="1" applyFill="1" applyBorder="1"/>
    <xf numFmtId="0" fontId="2" fillId="2" borderId="12" xfId="0" applyFont="1" applyFill="1" applyBorder="1"/>
    <xf numFmtId="0" fontId="2" fillId="2" borderId="13" xfId="0" applyFont="1" applyFill="1" applyBorder="1"/>
    <xf numFmtId="0" fontId="7" fillId="2" borderId="0" xfId="0" applyFont="1" applyFill="1"/>
    <xf numFmtId="0" fontId="4" fillId="2" borderId="0" xfId="0" applyFont="1" applyFill="1" applyAlignment="1">
      <alignment horizontal="center" vertical="center"/>
    </xf>
    <xf numFmtId="10" fontId="4" fillId="2" borderId="0" xfId="1" applyNumberFormat="1" applyFont="1" applyFill="1"/>
    <xf numFmtId="0" fontId="2" fillId="5" borderId="14" xfId="0" applyFont="1" applyFill="1" applyBorder="1"/>
    <xf numFmtId="0" fontId="2" fillId="5" borderId="15" xfId="0" applyFont="1" applyFill="1" applyBorder="1"/>
    <xf numFmtId="0" fontId="2" fillId="5" borderId="16" xfId="0" applyFont="1" applyFill="1" applyBorder="1"/>
    <xf numFmtId="0" fontId="2" fillId="5" borderId="17" xfId="0" applyFont="1" applyFill="1" applyBorder="1"/>
    <xf numFmtId="0" fontId="2" fillId="5" borderId="0" xfId="0" applyFont="1" applyFill="1" applyBorder="1"/>
    <xf numFmtId="0" fontId="2" fillId="5" borderId="18" xfId="0" applyFont="1" applyFill="1" applyBorder="1"/>
    <xf numFmtId="0" fontId="2" fillId="5" borderId="19" xfId="0" applyFont="1" applyFill="1" applyBorder="1"/>
    <xf numFmtId="0" fontId="2" fillId="5" borderId="20" xfId="0" applyFont="1" applyFill="1" applyBorder="1"/>
    <xf numFmtId="0" fontId="2" fillId="5" borderId="21" xfId="0" applyFont="1" applyFill="1" applyBorder="1"/>
  </cellXfs>
  <cellStyles count="2">
    <cellStyle name="Normale" xfId="0" builtinId="0"/>
    <cellStyle name="Percentual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A7A0D-C797-4E3D-A174-646B69F9B7E9}">
  <dimension ref="A1:B10"/>
  <sheetViews>
    <sheetView zoomScale="120" zoomScaleNormal="120" workbookViewId="0">
      <selection activeCell="A2" sqref="A2"/>
    </sheetView>
  </sheetViews>
  <sheetFormatPr defaultRowHeight="15" x14ac:dyDescent="0.25"/>
  <cols>
    <col min="1" max="1" width="14.6640625" style="1" customWidth="1"/>
    <col min="2" max="2" width="45.88671875" style="1" customWidth="1"/>
    <col min="3" max="16384" width="8.88671875" style="1"/>
  </cols>
  <sheetData>
    <row r="1" spans="1:2" ht="27.6" customHeight="1" x14ac:dyDescent="0.25">
      <c r="A1" s="24" t="s">
        <v>34</v>
      </c>
      <c r="B1" s="24"/>
    </row>
    <row r="2" spans="1:2" x14ac:dyDescent="0.25">
      <c r="A2" s="26"/>
      <c r="B2" s="26"/>
    </row>
    <row r="3" spans="1:2" ht="15.6" thickBot="1" x14ac:dyDescent="0.3">
      <c r="A3" s="26"/>
      <c r="B3" s="26"/>
    </row>
    <row r="4" spans="1:2" ht="15.6" thickBot="1" x14ac:dyDescent="0.3">
      <c r="A4" s="25" t="s">
        <v>30</v>
      </c>
      <c r="B4" s="22"/>
    </row>
    <row r="5" spans="1:2" ht="15.6" thickBot="1" x14ac:dyDescent="0.3">
      <c r="A5" s="27"/>
      <c r="B5" s="26"/>
    </row>
    <row r="6" spans="1:2" ht="15.6" thickBot="1" x14ac:dyDescent="0.3">
      <c r="A6" s="25" t="s">
        <v>31</v>
      </c>
      <c r="B6" s="22"/>
    </row>
    <row r="7" spans="1:2" ht="15.6" thickBot="1" x14ac:dyDescent="0.3">
      <c r="A7" s="27"/>
      <c r="B7" s="26"/>
    </row>
    <row r="8" spans="1:2" ht="15.6" thickBot="1" x14ac:dyDescent="0.3">
      <c r="A8" s="25" t="s">
        <v>32</v>
      </c>
      <c r="B8" s="23"/>
    </row>
    <row r="9" spans="1:2" ht="15.6" thickBot="1" x14ac:dyDescent="0.3">
      <c r="A9" s="27"/>
      <c r="B9" s="26"/>
    </row>
    <row r="10" spans="1:2" ht="15.6" thickBot="1" x14ac:dyDescent="0.3">
      <c r="A10" s="25" t="s">
        <v>33</v>
      </c>
      <c r="B10" s="23"/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DE096-3509-4224-B935-0842F1E237E5}">
  <dimension ref="A1:H25"/>
  <sheetViews>
    <sheetView topLeftCell="A9" workbookViewId="0">
      <selection activeCell="A2" sqref="A2"/>
    </sheetView>
  </sheetViews>
  <sheetFormatPr defaultRowHeight="15" x14ac:dyDescent="0.25"/>
  <cols>
    <col min="1" max="1" width="24.6640625" style="1" customWidth="1"/>
    <col min="2" max="2" width="9.6640625" style="1" customWidth="1"/>
    <col min="3" max="3" width="7.44140625" style="1" customWidth="1"/>
    <col min="4" max="4" width="12.44140625" style="1" customWidth="1"/>
    <col min="5" max="5" width="16" style="1" customWidth="1"/>
    <col min="6" max="6" width="12.33203125" style="1" customWidth="1"/>
    <col min="7" max="7" width="16.5546875" style="1" customWidth="1"/>
    <col min="8" max="8" width="8.88671875" style="1"/>
    <col min="9" max="9" width="13.33203125" style="1" customWidth="1"/>
    <col min="10" max="16384" width="8.88671875" style="1"/>
  </cols>
  <sheetData>
    <row r="1" spans="1:8" ht="15.6" x14ac:dyDescent="0.3">
      <c r="A1" s="3" t="s">
        <v>25</v>
      </c>
      <c r="B1" s="2"/>
      <c r="C1" s="2"/>
      <c r="D1" s="2"/>
      <c r="E1" s="2"/>
      <c r="F1" s="2"/>
      <c r="G1" s="2"/>
      <c r="H1" s="2"/>
    </row>
    <row r="3" spans="1:8" ht="15" customHeight="1" x14ac:dyDescent="0.25">
      <c r="A3" s="2" t="s">
        <v>0</v>
      </c>
      <c r="B3" s="2"/>
      <c r="C3" s="2"/>
      <c r="D3" s="2"/>
      <c r="E3" s="2"/>
      <c r="F3" s="2"/>
      <c r="G3" s="2"/>
      <c r="H3" s="2"/>
    </row>
    <row r="4" spans="1:8" ht="15" customHeight="1" x14ac:dyDescent="0.25">
      <c r="A4" s="2" t="s">
        <v>1</v>
      </c>
      <c r="B4" s="2"/>
      <c r="C4" s="2"/>
      <c r="D4" s="2"/>
      <c r="E4" s="2"/>
      <c r="F4" s="2"/>
      <c r="G4" s="2"/>
      <c r="H4" s="2"/>
    </row>
    <row r="5" spans="1:8" ht="15" customHeight="1" x14ac:dyDescent="0.25">
      <c r="A5" s="2" t="s">
        <v>2</v>
      </c>
      <c r="B5" s="2"/>
      <c r="C5" s="2"/>
      <c r="D5" s="2"/>
      <c r="E5" s="2"/>
      <c r="F5" s="2"/>
      <c r="G5" s="2"/>
      <c r="H5" s="2"/>
    </row>
    <row r="6" spans="1:8" ht="15" customHeight="1" x14ac:dyDescent="0.25">
      <c r="A6" s="2" t="s">
        <v>3</v>
      </c>
      <c r="B6" s="2"/>
      <c r="C6" s="2"/>
      <c r="D6" s="2"/>
      <c r="E6" s="2"/>
      <c r="F6" s="2"/>
      <c r="G6" s="2"/>
      <c r="H6" s="2"/>
    </row>
    <row r="7" spans="1:8" ht="15" customHeight="1" x14ac:dyDescent="0.25">
      <c r="A7" s="2" t="s">
        <v>4</v>
      </c>
      <c r="B7" s="2"/>
      <c r="C7" s="2"/>
      <c r="D7" s="2"/>
      <c r="E7" s="2"/>
      <c r="F7" s="2"/>
      <c r="G7" s="2"/>
      <c r="H7" s="2"/>
    </row>
    <row r="8" spans="1:8" ht="15" customHeight="1" x14ac:dyDescent="0.25">
      <c r="A8" s="8" t="s">
        <v>5</v>
      </c>
      <c r="B8" s="2"/>
      <c r="C8" s="2"/>
      <c r="D8" s="2"/>
      <c r="E8" s="2"/>
      <c r="F8" s="2"/>
      <c r="G8" s="2"/>
      <c r="H8" s="2"/>
    </row>
    <row r="9" spans="1:8" ht="15" customHeight="1" x14ac:dyDescent="0.25">
      <c r="A9" s="8" t="s">
        <v>6</v>
      </c>
      <c r="B9" s="2"/>
      <c r="C9" s="2"/>
      <c r="D9" s="2"/>
      <c r="E9" s="2"/>
      <c r="F9" s="2"/>
      <c r="G9" s="2"/>
      <c r="H9" s="2"/>
    </row>
    <row r="10" spans="1:8" ht="15" customHeight="1" x14ac:dyDescent="0.25">
      <c r="A10" s="8" t="s">
        <v>7</v>
      </c>
      <c r="B10" s="2"/>
      <c r="C10" s="2"/>
      <c r="D10" s="2"/>
      <c r="E10" s="2"/>
      <c r="F10" s="2"/>
      <c r="G10" s="2"/>
      <c r="H10" s="2"/>
    </row>
    <row r="11" spans="1:8" ht="15" customHeight="1" x14ac:dyDescent="0.25">
      <c r="A11" s="2" t="s">
        <v>8</v>
      </c>
      <c r="B11" s="2"/>
      <c r="C11" s="2"/>
      <c r="D11" s="2"/>
      <c r="E11" s="2"/>
      <c r="F11" s="2"/>
      <c r="G11" s="2"/>
      <c r="H11" s="2"/>
    </row>
    <row r="12" spans="1:8" ht="15" customHeight="1" x14ac:dyDescent="0.25"/>
    <row r="13" spans="1:8" ht="15" customHeight="1" x14ac:dyDescent="0.25">
      <c r="E13" s="1" t="s">
        <v>15</v>
      </c>
    </row>
    <row r="14" spans="1:8" ht="43.2" customHeight="1" x14ac:dyDescent="0.25">
      <c r="A14" s="4"/>
      <c r="B14" s="18" t="s">
        <v>12</v>
      </c>
      <c r="C14" s="19"/>
      <c r="D14" s="4" t="s">
        <v>13</v>
      </c>
      <c r="E14" s="5" t="s">
        <v>16</v>
      </c>
      <c r="F14" s="5" t="s">
        <v>17</v>
      </c>
      <c r="G14" s="5" t="s">
        <v>18</v>
      </c>
      <c r="H14" s="6" t="s">
        <v>14</v>
      </c>
    </row>
    <row r="15" spans="1:8" ht="15" customHeight="1" x14ac:dyDescent="0.25">
      <c r="A15" s="4" t="s">
        <v>11</v>
      </c>
      <c r="B15" s="14">
        <v>0.6</v>
      </c>
      <c r="C15" s="15"/>
      <c r="D15" s="4">
        <v>3000</v>
      </c>
      <c r="E15" s="4">
        <v>4000</v>
      </c>
      <c r="F15" s="4">
        <v>15000</v>
      </c>
      <c r="G15" s="4">
        <v>5500</v>
      </c>
      <c r="H15" s="4">
        <f>SUM(E15:G15)</f>
        <v>24500</v>
      </c>
    </row>
    <row r="16" spans="1:8" ht="15" customHeight="1" x14ac:dyDescent="0.25">
      <c r="A16" s="4" t="s">
        <v>9</v>
      </c>
      <c r="B16" s="16"/>
      <c r="C16" s="17"/>
      <c r="D16" s="4">
        <v>9000</v>
      </c>
      <c r="E16" s="4"/>
      <c r="F16" s="4"/>
      <c r="G16" s="4"/>
      <c r="H16" s="4"/>
    </row>
    <row r="17" spans="1:8" ht="15" customHeight="1" x14ac:dyDescent="0.25">
      <c r="A17" s="4" t="s">
        <v>10</v>
      </c>
      <c r="B17" s="16"/>
      <c r="C17" s="17"/>
      <c r="D17" s="4"/>
      <c r="E17" s="4">
        <v>15600</v>
      </c>
      <c r="F17" s="4">
        <v>18300</v>
      </c>
      <c r="G17" s="4">
        <v>11200</v>
      </c>
      <c r="H17" s="4">
        <f>SUM(E17:G17)</f>
        <v>45100</v>
      </c>
    </row>
    <row r="18" spans="1:8" ht="15.6" x14ac:dyDescent="0.3">
      <c r="A18" s="7" t="s">
        <v>14</v>
      </c>
      <c r="B18" s="20"/>
      <c r="C18" s="21"/>
      <c r="D18" s="7">
        <f>D16+D15</f>
        <v>12000</v>
      </c>
      <c r="E18" s="7">
        <f>E15+E17</f>
        <v>19600</v>
      </c>
      <c r="F18" s="7">
        <f t="shared" ref="F18:H18" si="0">F15+F17</f>
        <v>33300</v>
      </c>
      <c r="G18" s="7">
        <f t="shared" si="0"/>
        <v>16700</v>
      </c>
      <c r="H18" s="7">
        <f t="shared" si="0"/>
        <v>69600</v>
      </c>
    </row>
    <row r="20" spans="1:8" ht="15.6" x14ac:dyDescent="0.3">
      <c r="A20" s="9" t="s">
        <v>19</v>
      </c>
      <c r="B20" s="2"/>
      <c r="C20" s="2"/>
      <c r="D20" s="2"/>
      <c r="E20" s="2"/>
      <c r="F20" s="2"/>
      <c r="G20" s="2"/>
      <c r="H20" s="2"/>
    </row>
    <row r="21" spans="1:8" x14ac:dyDescent="0.25">
      <c r="A21" s="2" t="s">
        <v>20</v>
      </c>
      <c r="B21" s="2"/>
      <c r="C21" s="2"/>
      <c r="D21" s="2"/>
      <c r="E21" s="2"/>
      <c r="F21" s="2"/>
      <c r="G21" s="2"/>
      <c r="H21" s="2"/>
    </row>
    <row r="22" spans="1:8" x14ac:dyDescent="0.25">
      <c r="A22" s="2" t="s">
        <v>21</v>
      </c>
      <c r="B22" s="2"/>
      <c r="C22" s="2"/>
      <c r="D22" s="2"/>
      <c r="E22" s="2"/>
      <c r="F22" s="2"/>
      <c r="G22" s="2"/>
      <c r="H22" s="2"/>
    </row>
    <row r="23" spans="1:8" x14ac:dyDescent="0.25">
      <c r="A23" s="8" t="s">
        <v>22</v>
      </c>
      <c r="B23" s="2"/>
      <c r="C23" s="2"/>
      <c r="D23" s="2"/>
      <c r="E23" s="2"/>
      <c r="F23" s="2"/>
      <c r="G23" s="2"/>
      <c r="H23" s="2"/>
    </row>
    <row r="24" spans="1:8" x14ac:dyDescent="0.25">
      <c r="A24" s="8" t="s">
        <v>23</v>
      </c>
      <c r="B24" s="2"/>
      <c r="C24" s="2"/>
      <c r="D24" s="2"/>
      <c r="E24" s="2"/>
      <c r="F24" s="2"/>
      <c r="G24" s="2"/>
      <c r="H24" s="2"/>
    </row>
    <row r="25" spans="1:8" x14ac:dyDescent="0.25">
      <c r="A25" s="8" t="s">
        <v>24</v>
      </c>
      <c r="B25" s="2"/>
      <c r="C25" s="2"/>
      <c r="D25" s="2"/>
      <c r="E25" s="2"/>
      <c r="F25" s="2"/>
      <c r="G25" s="2"/>
      <c r="H25" s="2"/>
    </row>
  </sheetData>
  <mergeCells count="5">
    <mergeCell ref="B15:C15"/>
    <mergeCell ref="B16:C16"/>
    <mergeCell ref="B17:C17"/>
    <mergeCell ref="B14:C14"/>
    <mergeCell ref="B18:C18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38EDF-4888-4BE4-BCB8-349A79FB0605}">
  <dimension ref="A1:H37"/>
  <sheetViews>
    <sheetView topLeftCell="A16" workbookViewId="0">
      <selection activeCell="I26" sqref="I26"/>
    </sheetView>
  </sheetViews>
  <sheetFormatPr defaultRowHeight="15" x14ac:dyDescent="0.25"/>
  <cols>
    <col min="1" max="1" width="24.6640625" style="1" customWidth="1"/>
    <col min="2" max="2" width="9.6640625" style="1" customWidth="1"/>
    <col min="3" max="3" width="7.44140625" style="1" customWidth="1"/>
    <col min="4" max="4" width="12.44140625" style="1" customWidth="1"/>
    <col min="5" max="5" width="16" style="1" customWidth="1"/>
    <col min="6" max="6" width="12.33203125" style="1" customWidth="1"/>
    <col min="7" max="7" width="16.5546875" style="1" customWidth="1"/>
    <col min="8" max="8" width="8.88671875" style="1"/>
    <col min="9" max="9" width="13.33203125" style="1" customWidth="1"/>
    <col min="10" max="16384" width="8.88671875" style="1"/>
  </cols>
  <sheetData>
    <row r="1" spans="1:8" ht="15.6" x14ac:dyDescent="0.3">
      <c r="A1" s="3" t="s">
        <v>25</v>
      </c>
      <c r="B1" s="2"/>
      <c r="C1" s="2"/>
      <c r="D1" s="2"/>
      <c r="E1" s="2"/>
      <c r="F1" s="2"/>
      <c r="G1" s="2"/>
      <c r="H1" s="2"/>
    </row>
    <row r="3" spans="1:8" ht="15" customHeight="1" x14ac:dyDescent="0.25">
      <c r="A3" s="2" t="s">
        <v>0</v>
      </c>
      <c r="B3" s="2"/>
      <c r="C3" s="2"/>
      <c r="D3" s="2"/>
      <c r="E3" s="2"/>
      <c r="F3" s="2"/>
      <c r="G3" s="2"/>
      <c r="H3" s="2"/>
    </row>
    <row r="4" spans="1:8" ht="15" customHeight="1" x14ac:dyDescent="0.25">
      <c r="A4" s="2" t="s">
        <v>1</v>
      </c>
      <c r="B4" s="2"/>
      <c r="C4" s="2"/>
      <c r="D4" s="2"/>
      <c r="E4" s="2"/>
      <c r="F4" s="2"/>
      <c r="G4" s="2"/>
      <c r="H4" s="2"/>
    </row>
    <row r="5" spans="1:8" ht="15" customHeight="1" x14ac:dyDescent="0.25">
      <c r="A5" s="2" t="s">
        <v>2</v>
      </c>
      <c r="B5" s="2"/>
      <c r="C5" s="2"/>
      <c r="D5" s="2"/>
      <c r="E5" s="2"/>
      <c r="F5" s="2"/>
      <c r="G5" s="2"/>
      <c r="H5" s="2"/>
    </row>
    <row r="6" spans="1:8" ht="15" customHeight="1" x14ac:dyDescent="0.25">
      <c r="A6" s="2" t="s">
        <v>3</v>
      </c>
      <c r="B6" s="2"/>
      <c r="C6" s="2"/>
      <c r="D6" s="2"/>
      <c r="E6" s="2"/>
      <c r="F6" s="2"/>
      <c r="G6" s="2"/>
      <c r="H6" s="2"/>
    </row>
    <row r="7" spans="1:8" ht="15" customHeight="1" x14ac:dyDescent="0.25">
      <c r="A7" s="2" t="s">
        <v>4</v>
      </c>
      <c r="B7" s="2"/>
      <c r="C7" s="2"/>
      <c r="D7" s="2"/>
      <c r="E7" s="2"/>
      <c r="F7" s="2"/>
      <c r="G7" s="2"/>
      <c r="H7" s="2"/>
    </row>
    <row r="8" spans="1:8" ht="15" customHeight="1" x14ac:dyDescent="0.25">
      <c r="A8" s="8" t="s">
        <v>5</v>
      </c>
      <c r="B8" s="2"/>
      <c r="C8" s="2"/>
      <c r="D8" s="2"/>
      <c r="E8" s="2"/>
      <c r="F8" s="2"/>
      <c r="G8" s="2"/>
      <c r="H8" s="2"/>
    </row>
    <row r="9" spans="1:8" ht="15" customHeight="1" x14ac:dyDescent="0.25">
      <c r="A9" s="8" t="s">
        <v>6</v>
      </c>
      <c r="B9" s="2"/>
      <c r="C9" s="2"/>
      <c r="D9" s="2"/>
      <c r="E9" s="2"/>
      <c r="F9" s="2"/>
      <c r="G9" s="2"/>
      <c r="H9" s="2"/>
    </row>
    <row r="10" spans="1:8" ht="15" customHeight="1" x14ac:dyDescent="0.25">
      <c r="A10" s="8" t="s">
        <v>7</v>
      </c>
      <c r="B10" s="2"/>
      <c r="C10" s="2"/>
      <c r="D10" s="2"/>
      <c r="E10" s="2"/>
      <c r="F10" s="2"/>
      <c r="G10" s="2"/>
      <c r="H10" s="2"/>
    </row>
    <row r="11" spans="1:8" ht="15" customHeight="1" x14ac:dyDescent="0.25">
      <c r="A11" s="2" t="s">
        <v>8</v>
      </c>
      <c r="B11" s="2"/>
      <c r="C11" s="2"/>
      <c r="D11" s="2"/>
      <c r="E11" s="2"/>
      <c r="F11" s="2"/>
      <c r="G11" s="2"/>
      <c r="H11" s="2"/>
    </row>
    <row r="12" spans="1:8" ht="15" customHeight="1" x14ac:dyDescent="0.25"/>
    <row r="13" spans="1:8" ht="15" customHeight="1" x14ac:dyDescent="0.25">
      <c r="E13" s="1" t="s">
        <v>15</v>
      </c>
    </row>
    <row r="14" spans="1:8" ht="43.2" customHeight="1" x14ac:dyDescent="0.25">
      <c r="A14" s="4"/>
      <c r="B14" s="18" t="s">
        <v>12</v>
      </c>
      <c r="C14" s="19"/>
      <c r="D14" s="4" t="s">
        <v>13</v>
      </c>
      <c r="E14" s="5" t="s">
        <v>16</v>
      </c>
      <c r="F14" s="5" t="s">
        <v>17</v>
      </c>
      <c r="G14" s="5" t="s">
        <v>18</v>
      </c>
      <c r="H14" s="6" t="s">
        <v>14</v>
      </c>
    </row>
    <row r="15" spans="1:8" ht="15" customHeight="1" x14ac:dyDescent="0.25">
      <c r="A15" s="4" t="s">
        <v>11</v>
      </c>
      <c r="B15" s="14">
        <v>0.6</v>
      </c>
      <c r="C15" s="15"/>
      <c r="D15" s="4">
        <v>3000</v>
      </c>
      <c r="E15" s="4">
        <v>4000</v>
      </c>
      <c r="F15" s="4">
        <v>15000</v>
      </c>
      <c r="G15" s="4">
        <v>5500</v>
      </c>
      <c r="H15" s="4">
        <f>SUM(E15:G15)</f>
        <v>24500</v>
      </c>
    </row>
    <row r="16" spans="1:8" ht="15" customHeight="1" x14ac:dyDescent="0.25">
      <c r="A16" s="4" t="s">
        <v>9</v>
      </c>
      <c r="B16" s="16"/>
      <c r="C16" s="17"/>
      <c r="D16" s="4">
        <v>9000</v>
      </c>
      <c r="E16" s="4"/>
      <c r="F16" s="4"/>
      <c r="G16" s="4"/>
      <c r="H16" s="4"/>
    </row>
    <row r="17" spans="1:8" ht="15" customHeight="1" x14ac:dyDescent="0.25">
      <c r="A17" s="4" t="s">
        <v>10</v>
      </c>
      <c r="B17" s="16"/>
      <c r="C17" s="17"/>
      <c r="D17" s="4"/>
      <c r="E17" s="4">
        <v>15600</v>
      </c>
      <c r="F17" s="4">
        <v>18300</v>
      </c>
      <c r="G17" s="4">
        <v>11200</v>
      </c>
      <c r="H17" s="4">
        <f>SUM(E17:G17)</f>
        <v>45100</v>
      </c>
    </row>
    <row r="18" spans="1:8" ht="15.6" x14ac:dyDescent="0.3">
      <c r="A18" s="7" t="s">
        <v>14</v>
      </c>
      <c r="B18" s="20"/>
      <c r="C18" s="21"/>
      <c r="D18" s="7">
        <f>D16+D15</f>
        <v>12000</v>
      </c>
      <c r="E18" s="7">
        <f>E15+E17</f>
        <v>19600</v>
      </c>
      <c r="F18" s="7">
        <f t="shared" ref="F18:H18" si="0">F15+F17</f>
        <v>33300</v>
      </c>
      <c r="G18" s="7">
        <f t="shared" si="0"/>
        <v>16700</v>
      </c>
      <c r="H18" s="7">
        <f t="shared" si="0"/>
        <v>69600</v>
      </c>
    </row>
    <row r="20" spans="1:8" ht="15.6" x14ac:dyDescent="0.3">
      <c r="A20" s="9" t="s">
        <v>19</v>
      </c>
      <c r="B20" s="2"/>
      <c r="C20" s="2"/>
      <c r="D20" s="2"/>
      <c r="E20" s="2"/>
      <c r="F20" s="2"/>
      <c r="G20" s="2"/>
      <c r="H20" s="2"/>
    </row>
    <row r="21" spans="1:8" x14ac:dyDescent="0.25">
      <c r="A21" s="2" t="s">
        <v>20</v>
      </c>
      <c r="B21" s="2"/>
      <c r="C21" s="2"/>
      <c r="D21" s="2"/>
      <c r="E21" s="2"/>
      <c r="F21" s="2"/>
      <c r="G21" s="2"/>
      <c r="H21" s="2"/>
    </row>
    <row r="22" spans="1:8" x14ac:dyDescent="0.25">
      <c r="A22" s="2" t="s">
        <v>21</v>
      </c>
      <c r="B22" s="2"/>
      <c r="C22" s="2"/>
      <c r="D22" s="2"/>
      <c r="E22" s="2"/>
      <c r="F22" s="2"/>
      <c r="G22" s="2"/>
      <c r="H22" s="2"/>
    </row>
    <row r="23" spans="1:8" x14ac:dyDescent="0.25">
      <c r="A23" s="8" t="s">
        <v>22</v>
      </c>
      <c r="B23" s="2"/>
      <c r="C23" s="2"/>
      <c r="D23" s="2"/>
      <c r="E23" s="2"/>
      <c r="F23" s="2"/>
      <c r="G23" s="2"/>
      <c r="H23" s="2"/>
    </row>
    <row r="24" spans="1:8" x14ac:dyDescent="0.25">
      <c r="A24" s="8" t="s">
        <v>23</v>
      </c>
      <c r="B24" s="2"/>
      <c r="C24" s="2"/>
      <c r="D24" s="2"/>
      <c r="E24" s="2"/>
      <c r="F24" s="2"/>
      <c r="G24" s="2"/>
      <c r="H24" s="2"/>
    </row>
    <row r="25" spans="1:8" x14ac:dyDescent="0.25">
      <c r="A25" s="8" t="s">
        <v>24</v>
      </c>
      <c r="B25" s="2"/>
      <c r="C25" s="2"/>
      <c r="D25" s="2"/>
      <c r="E25" s="2"/>
      <c r="F25" s="2"/>
      <c r="G25" s="2"/>
      <c r="H25" s="2"/>
    </row>
    <row r="27" spans="1:8" x14ac:dyDescent="0.25">
      <c r="C27" s="1" t="s">
        <v>26</v>
      </c>
      <c r="D27" s="1">
        <f>D18-8400</f>
        <v>3600</v>
      </c>
    </row>
    <row r="29" spans="1:8" ht="31.2" x14ac:dyDescent="0.25">
      <c r="E29" s="5" t="s">
        <v>16</v>
      </c>
      <c r="F29" s="5" t="s">
        <v>17</v>
      </c>
      <c r="G29" s="5" t="s">
        <v>18</v>
      </c>
      <c r="H29" s="6" t="s">
        <v>14</v>
      </c>
    </row>
    <row r="30" spans="1:8" x14ac:dyDescent="0.25">
      <c r="D30" s="1" t="s">
        <v>26</v>
      </c>
      <c r="E30" s="1">
        <f>D27</f>
        <v>3600</v>
      </c>
      <c r="F30" s="1">
        <f>D27*0.85</f>
        <v>3060</v>
      </c>
      <c r="G30" s="1">
        <v>0</v>
      </c>
      <c r="H30" s="1">
        <f>E30+F30</f>
        <v>6660</v>
      </c>
    </row>
    <row r="31" spans="1:8" x14ac:dyDescent="0.25">
      <c r="D31" s="1" t="s">
        <v>27</v>
      </c>
      <c r="E31" s="1">
        <f>8400</f>
        <v>8400</v>
      </c>
      <c r="F31" s="1">
        <f>E31</f>
        <v>8400</v>
      </c>
      <c r="G31" s="1">
        <f>F31</f>
        <v>8400</v>
      </c>
      <c r="H31" s="1">
        <f>SUM(E31:G31)</f>
        <v>25200</v>
      </c>
    </row>
    <row r="32" spans="1:8" ht="15.6" x14ac:dyDescent="0.3">
      <c r="D32" s="10" t="s">
        <v>28</v>
      </c>
      <c r="E32" s="10">
        <f>E30+E31</f>
        <v>12000</v>
      </c>
      <c r="F32" s="10">
        <f t="shared" ref="F32:H32" si="1">F30+F31</f>
        <v>11460</v>
      </c>
      <c r="G32" s="10">
        <f t="shared" si="1"/>
        <v>8400</v>
      </c>
      <c r="H32" s="10">
        <f t="shared" si="1"/>
        <v>31860</v>
      </c>
    </row>
    <row r="33" spans="4:8" ht="15.6" x14ac:dyDescent="0.3">
      <c r="H33" s="10"/>
    </row>
    <row r="34" spans="4:8" ht="15.6" x14ac:dyDescent="0.3">
      <c r="D34" s="1" t="s">
        <v>29</v>
      </c>
      <c r="E34" s="11">
        <f>E18/E32</f>
        <v>1.6333333333333333</v>
      </c>
      <c r="F34" s="11">
        <f t="shared" ref="F34:G34" si="2">F18/F32</f>
        <v>2.9057591623036649</v>
      </c>
      <c r="G34" s="11">
        <f t="shared" si="2"/>
        <v>1.9880952380952381</v>
      </c>
      <c r="H34" s="12">
        <f>SUM(E34:G34)</f>
        <v>6.5271877337322364</v>
      </c>
    </row>
    <row r="35" spans="4:8" ht="15.6" x14ac:dyDescent="0.3">
      <c r="D35" s="1" t="s">
        <v>26</v>
      </c>
      <c r="E35" s="1">
        <f>$E$34*E30</f>
        <v>5880</v>
      </c>
      <c r="F35" s="1">
        <f t="shared" ref="F35:G35" si="3">$E$34*F30</f>
        <v>4998</v>
      </c>
      <c r="G35" s="1">
        <f t="shared" si="3"/>
        <v>0</v>
      </c>
      <c r="H35" s="10">
        <f>E35+F35</f>
        <v>10878</v>
      </c>
    </row>
    <row r="36" spans="4:8" ht="15.6" x14ac:dyDescent="0.3">
      <c r="D36" s="1" t="s">
        <v>27</v>
      </c>
      <c r="E36" s="1">
        <f>E34*E31</f>
        <v>13720</v>
      </c>
      <c r="F36" s="13">
        <f t="shared" ref="F36:G36" si="4">F34*F31</f>
        <v>24408.376963350784</v>
      </c>
      <c r="G36" s="1">
        <f t="shared" si="4"/>
        <v>16700</v>
      </c>
      <c r="H36" s="10">
        <f>SUM(E36:G36)</f>
        <v>54828.376963350784</v>
      </c>
    </row>
    <row r="37" spans="4:8" ht="15.6" x14ac:dyDescent="0.3">
      <c r="D37" s="10" t="s">
        <v>14</v>
      </c>
      <c r="E37" s="10">
        <f>E35+E36</f>
        <v>19600</v>
      </c>
      <c r="F37" s="10">
        <f t="shared" ref="F37:G37" si="5">F35+F36</f>
        <v>29406.376963350784</v>
      </c>
      <c r="G37" s="10">
        <f t="shared" si="5"/>
        <v>16700</v>
      </c>
      <c r="H37" s="10">
        <f>SUM(E37:G37)</f>
        <v>65706.376963350776</v>
      </c>
    </row>
  </sheetData>
  <mergeCells count="5">
    <mergeCell ref="B14:C14"/>
    <mergeCell ref="B15:C15"/>
    <mergeCell ref="B16:C16"/>
    <mergeCell ref="B17:C17"/>
    <mergeCell ref="B18:C18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4AC34-BD8D-4169-9C04-A4E7F6B71F51}">
  <dimension ref="A1:I32"/>
  <sheetViews>
    <sheetView topLeftCell="A4" workbookViewId="0">
      <selection activeCell="B34" sqref="B34"/>
    </sheetView>
  </sheetViews>
  <sheetFormatPr defaultRowHeight="15" x14ac:dyDescent="0.25"/>
  <cols>
    <col min="1" max="5" width="8.88671875" style="1"/>
    <col min="6" max="6" width="11.21875" style="1" bestFit="1" customWidth="1"/>
    <col min="7" max="7" width="14.88671875" style="1" bestFit="1" customWidth="1"/>
    <col min="8" max="8" width="8.88671875" style="1"/>
    <col min="9" max="9" width="11" style="1" customWidth="1"/>
    <col min="10" max="16384" width="8.88671875" style="1"/>
  </cols>
  <sheetData>
    <row r="1" spans="1:9" ht="15.6" x14ac:dyDescent="0.3">
      <c r="A1" s="3" t="s">
        <v>35</v>
      </c>
      <c r="B1" s="2"/>
      <c r="C1" s="2"/>
      <c r="D1" s="2"/>
      <c r="E1" s="2"/>
      <c r="F1" s="2"/>
      <c r="G1" s="2"/>
      <c r="H1" s="2"/>
      <c r="I1" s="2"/>
    </row>
    <row r="3" spans="1:9" x14ac:dyDescent="0.25">
      <c r="A3" s="2" t="s">
        <v>36</v>
      </c>
      <c r="B3" s="2"/>
      <c r="C3" s="2"/>
      <c r="D3" s="2"/>
      <c r="E3" s="2"/>
      <c r="F3" s="2"/>
      <c r="G3" s="2"/>
      <c r="H3" s="2"/>
      <c r="I3" s="2"/>
    </row>
    <row r="4" spans="1:9" x14ac:dyDescent="0.25">
      <c r="A4" s="2" t="s">
        <v>37</v>
      </c>
      <c r="B4" s="2"/>
      <c r="C4" s="2"/>
      <c r="D4" s="2"/>
      <c r="E4" s="2"/>
      <c r="F4" s="2"/>
      <c r="G4" s="2"/>
      <c r="H4" s="2"/>
      <c r="I4" s="2"/>
    </row>
    <row r="5" spans="1:9" x14ac:dyDescent="0.25">
      <c r="A5" s="2" t="s">
        <v>38</v>
      </c>
      <c r="B5" s="2"/>
      <c r="C5" s="2"/>
      <c r="D5" s="2"/>
      <c r="E5" s="2"/>
      <c r="F5" s="2"/>
      <c r="G5" s="2"/>
      <c r="H5" s="2"/>
      <c r="I5" s="2"/>
    </row>
    <row r="6" spans="1:9" x14ac:dyDescent="0.25">
      <c r="A6" s="2" t="s">
        <v>39</v>
      </c>
      <c r="B6" s="2"/>
      <c r="C6" s="2"/>
      <c r="D6" s="2"/>
      <c r="E6" s="2"/>
      <c r="F6" s="2"/>
      <c r="G6" s="2"/>
      <c r="H6" s="2"/>
      <c r="I6" s="2"/>
    </row>
    <row r="8" spans="1:9" ht="15.6" x14ac:dyDescent="0.3">
      <c r="F8" s="7" t="s">
        <v>43</v>
      </c>
      <c r="G8" s="7" t="s">
        <v>44</v>
      </c>
    </row>
    <row r="9" spans="1:9" x14ac:dyDescent="0.25">
      <c r="A9" s="29" t="s">
        <v>40</v>
      </c>
      <c r="B9" s="30"/>
      <c r="C9" s="30"/>
      <c r="D9" s="30"/>
      <c r="E9" s="31"/>
      <c r="F9" s="4">
        <v>29000</v>
      </c>
      <c r="G9" s="4">
        <v>42000</v>
      </c>
    </row>
    <row r="10" spans="1:9" x14ac:dyDescent="0.25">
      <c r="A10" s="32" t="s">
        <v>41</v>
      </c>
      <c r="B10" s="33"/>
      <c r="C10" s="33"/>
      <c r="D10" s="33"/>
      <c r="E10" s="34"/>
      <c r="F10" s="4">
        <v>32</v>
      </c>
      <c r="G10" s="4">
        <v>40</v>
      </c>
    </row>
    <row r="11" spans="1:9" x14ac:dyDescent="0.25">
      <c r="A11" s="35" t="s">
        <v>42</v>
      </c>
      <c r="B11" s="36"/>
      <c r="C11" s="36"/>
      <c r="D11" s="36"/>
      <c r="E11" s="37"/>
      <c r="F11" s="28">
        <v>0.2</v>
      </c>
      <c r="G11" s="28">
        <v>0.28000000000000003</v>
      </c>
    </row>
    <row r="13" spans="1:9" x14ac:dyDescent="0.25">
      <c r="A13" s="2" t="s">
        <v>45</v>
      </c>
      <c r="B13" s="2"/>
      <c r="C13" s="2"/>
      <c r="D13" s="2"/>
      <c r="E13" s="2"/>
      <c r="F13" s="2"/>
      <c r="G13" s="2"/>
      <c r="H13" s="2"/>
      <c r="I13" s="2"/>
    </row>
    <row r="14" spans="1:9" x14ac:dyDescent="0.25">
      <c r="A14" s="2" t="s">
        <v>46</v>
      </c>
      <c r="B14" s="2"/>
      <c r="C14" s="2"/>
      <c r="D14" s="2"/>
      <c r="E14" s="2"/>
      <c r="F14" s="2"/>
      <c r="G14" s="2"/>
      <c r="H14" s="2"/>
      <c r="I14" s="2"/>
    </row>
    <row r="15" spans="1:9" x14ac:dyDescent="0.25">
      <c r="A15" s="2" t="s">
        <v>47</v>
      </c>
      <c r="B15" s="2"/>
      <c r="C15" s="2"/>
      <c r="D15" s="2"/>
      <c r="E15" s="2"/>
      <c r="F15" s="2"/>
      <c r="G15" s="2"/>
      <c r="H15" s="2"/>
      <c r="I15" s="2"/>
    </row>
    <row r="16" spans="1:9" x14ac:dyDescent="0.25">
      <c r="A16" s="2" t="s">
        <v>48</v>
      </c>
      <c r="B16" s="2"/>
      <c r="C16" s="2"/>
      <c r="D16" s="2"/>
      <c r="E16" s="2"/>
      <c r="F16" s="2"/>
      <c r="G16" s="2"/>
      <c r="H16" s="2"/>
      <c r="I16" s="2"/>
    </row>
    <row r="17" spans="1:9" x14ac:dyDescent="0.25">
      <c r="A17" s="2" t="s">
        <v>49</v>
      </c>
      <c r="B17" s="2"/>
      <c r="C17" s="2"/>
      <c r="D17" s="2"/>
      <c r="E17" s="2"/>
      <c r="F17" s="2"/>
      <c r="G17" s="2"/>
      <c r="H17" s="2"/>
      <c r="I17" s="2"/>
    </row>
    <row r="18" spans="1:9" x14ac:dyDescent="0.25">
      <c r="A18" s="2" t="s">
        <v>50</v>
      </c>
      <c r="B18" s="2"/>
      <c r="C18" s="2"/>
      <c r="D18" s="2"/>
      <c r="E18" s="2"/>
      <c r="F18" s="2"/>
      <c r="G18" s="2"/>
      <c r="H18" s="2"/>
      <c r="I18" s="2"/>
    </row>
    <row r="19" spans="1:9" x14ac:dyDescent="0.25">
      <c r="A19" s="2" t="s">
        <v>51</v>
      </c>
      <c r="B19" s="2"/>
      <c r="C19" s="2"/>
      <c r="D19" s="2"/>
      <c r="E19" s="2"/>
      <c r="F19" s="2"/>
      <c r="G19" s="2"/>
      <c r="H19" s="2"/>
      <c r="I19" s="2"/>
    </row>
    <row r="20" spans="1:9" x14ac:dyDescent="0.25">
      <c r="A20" s="2" t="s">
        <v>52</v>
      </c>
      <c r="B20" s="2"/>
      <c r="C20" s="2"/>
      <c r="D20" s="2"/>
      <c r="E20" s="2"/>
      <c r="F20" s="2"/>
      <c r="G20" s="2"/>
      <c r="H20" s="2"/>
      <c r="I20" s="2"/>
    </row>
    <row r="21" spans="1:9" x14ac:dyDescent="0.25">
      <c r="A21" s="2" t="s">
        <v>53</v>
      </c>
      <c r="B21" s="2"/>
      <c r="C21" s="2"/>
      <c r="D21" s="2"/>
      <c r="E21" s="2"/>
      <c r="F21" s="2"/>
      <c r="G21" s="2"/>
      <c r="H21" s="2"/>
      <c r="I21" s="2"/>
    </row>
    <row r="23" spans="1:9" ht="15.6" x14ac:dyDescent="0.3">
      <c r="A23" s="9" t="s">
        <v>19</v>
      </c>
      <c r="B23" s="2"/>
      <c r="C23" s="2"/>
      <c r="D23" s="2"/>
      <c r="E23" s="2"/>
      <c r="F23" s="2"/>
      <c r="G23" s="2"/>
      <c r="H23" s="2"/>
      <c r="I23" s="2"/>
    </row>
    <row r="24" spans="1:9" x14ac:dyDescent="0.25">
      <c r="A24" s="2" t="s">
        <v>55</v>
      </c>
      <c r="B24" s="2"/>
      <c r="C24" s="2"/>
      <c r="D24" s="2"/>
      <c r="E24" s="2"/>
      <c r="F24" s="2"/>
      <c r="G24" s="2"/>
      <c r="H24" s="2"/>
      <c r="I24" s="2"/>
    </row>
    <row r="25" spans="1:9" x14ac:dyDescent="0.25">
      <c r="A25" s="8" t="s">
        <v>54</v>
      </c>
      <c r="B25" s="2"/>
      <c r="C25" s="2"/>
      <c r="D25" s="2"/>
      <c r="E25" s="2"/>
      <c r="F25" s="2"/>
      <c r="G25" s="2"/>
      <c r="H25" s="2"/>
      <c r="I25" s="2"/>
    </row>
    <row r="26" spans="1:9" x14ac:dyDescent="0.25">
      <c r="A26" s="8" t="s">
        <v>57</v>
      </c>
      <c r="B26" s="2"/>
      <c r="C26" s="2"/>
      <c r="D26" s="2"/>
      <c r="E26" s="2"/>
      <c r="F26" s="2"/>
      <c r="G26" s="2"/>
      <c r="H26" s="2"/>
      <c r="I26" s="2"/>
    </row>
    <row r="27" spans="1:9" x14ac:dyDescent="0.25">
      <c r="A27" s="8" t="s">
        <v>56</v>
      </c>
      <c r="B27" s="2"/>
      <c r="C27" s="2"/>
      <c r="D27" s="2"/>
      <c r="E27" s="2"/>
      <c r="F27" s="2"/>
      <c r="G27" s="2"/>
      <c r="H27" s="2"/>
      <c r="I27" s="2"/>
    </row>
    <row r="28" spans="1:9" x14ac:dyDescent="0.25">
      <c r="A28" s="8" t="s">
        <v>58</v>
      </c>
      <c r="B28" s="2"/>
      <c r="C28" s="2"/>
      <c r="D28" s="2"/>
      <c r="E28" s="2"/>
      <c r="F28" s="2"/>
      <c r="G28" s="2"/>
      <c r="H28" s="2"/>
      <c r="I28" s="2"/>
    </row>
    <row r="30" spans="1:9" x14ac:dyDescent="0.25">
      <c r="A30" s="2" t="s">
        <v>59</v>
      </c>
      <c r="B30" s="2"/>
      <c r="C30" s="2"/>
      <c r="D30" s="2"/>
      <c r="E30" s="2"/>
      <c r="F30" s="2"/>
      <c r="G30" s="2"/>
      <c r="H30" s="2"/>
      <c r="I30" s="2"/>
    </row>
    <row r="31" spans="1:9" x14ac:dyDescent="0.25">
      <c r="A31" s="2" t="s">
        <v>60</v>
      </c>
      <c r="B31" s="2"/>
      <c r="C31" s="2"/>
      <c r="D31" s="2"/>
      <c r="E31" s="2"/>
      <c r="F31" s="2"/>
      <c r="G31" s="2"/>
      <c r="H31" s="2"/>
      <c r="I31" s="2"/>
    </row>
    <row r="32" spans="1:9" x14ac:dyDescent="0.25">
      <c r="A32" s="2" t="s">
        <v>61</v>
      </c>
      <c r="B32" s="2"/>
      <c r="C32" s="2"/>
      <c r="D32" s="2"/>
      <c r="E32" s="2"/>
      <c r="F32" s="2"/>
      <c r="G32" s="2"/>
      <c r="H32" s="2"/>
      <c r="I32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0FE9C-C0F5-4185-A367-F0C8D329235E}">
  <dimension ref="A1:I53"/>
  <sheetViews>
    <sheetView topLeftCell="A28" workbookViewId="0">
      <selection activeCell="I38" sqref="I38"/>
    </sheetView>
  </sheetViews>
  <sheetFormatPr defaultRowHeight="15" x14ac:dyDescent="0.25"/>
  <cols>
    <col min="1" max="2" width="8.88671875" style="1"/>
    <col min="3" max="3" width="9.44140625" style="1" customWidth="1"/>
    <col min="4" max="4" width="10.88671875" style="1" customWidth="1"/>
    <col min="5" max="5" width="13.109375" style="1" bestFit="1" customWidth="1"/>
    <col min="6" max="6" width="11.21875" style="1" bestFit="1" customWidth="1"/>
    <col min="7" max="7" width="14.88671875" style="1" bestFit="1" customWidth="1"/>
    <col min="8" max="8" width="8.88671875" style="1"/>
    <col min="9" max="9" width="11" style="1" customWidth="1"/>
    <col min="10" max="16384" width="8.88671875" style="1"/>
  </cols>
  <sheetData>
    <row r="1" spans="1:9" ht="15.6" x14ac:dyDescent="0.3">
      <c r="A1" s="3" t="s">
        <v>35</v>
      </c>
      <c r="B1" s="2"/>
      <c r="C1" s="2"/>
      <c r="D1" s="2"/>
      <c r="E1" s="2"/>
      <c r="F1" s="2"/>
      <c r="G1" s="2"/>
      <c r="H1" s="2"/>
      <c r="I1" s="2"/>
    </row>
    <row r="3" spans="1:9" x14ac:dyDescent="0.25">
      <c r="A3" s="2" t="s">
        <v>36</v>
      </c>
      <c r="B3" s="2"/>
      <c r="C3" s="2"/>
      <c r="D3" s="2"/>
      <c r="E3" s="2"/>
      <c r="F3" s="2"/>
      <c r="G3" s="2"/>
      <c r="H3" s="2"/>
      <c r="I3" s="2"/>
    </row>
    <row r="4" spans="1:9" x14ac:dyDescent="0.25">
      <c r="A4" s="2" t="s">
        <v>37</v>
      </c>
      <c r="B4" s="2"/>
      <c r="C4" s="2"/>
      <c r="D4" s="2"/>
      <c r="E4" s="2"/>
      <c r="F4" s="2"/>
      <c r="G4" s="2"/>
      <c r="H4" s="2"/>
      <c r="I4" s="2"/>
    </row>
    <row r="5" spans="1:9" x14ac:dyDescent="0.25">
      <c r="A5" s="2" t="s">
        <v>38</v>
      </c>
      <c r="B5" s="2"/>
      <c r="C5" s="2"/>
      <c r="D5" s="2"/>
      <c r="E5" s="2"/>
      <c r="F5" s="2"/>
      <c r="G5" s="2"/>
      <c r="H5" s="2"/>
      <c r="I5" s="2"/>
    </row>
    <row r="6" spans="1:9" x14ac:dyDescent="0.25">
      <c r="A6" s="2" t="s">
        <v>39</v>
      </c>
      <c r="B6" s="2"/>
      <c r="C6" s="2"/>
      <c r="D6" s="2"/>
      <c r="E6" s="2"/>
      <c r="F6" s="2"/>
      <c r="G6" s="2"/>
      <c r="H6" s="2"/>
      <c r="I6" s="2"/>
    </row>
    <row r="8" spans="1:9" ht="15.6" x14ac:dyDescent="0.3">
      <c r="F8" s="7" t="s">
        <v>43</v>
      </c>
      <c r="G8" s="7" t="s">
        <v>44</v>
      </c>
    </row>
    <row r="9" spans="1:9" x14ac:dyDescent="0.25">
      <c r="A9" s="29" t="s">
        <v>40</v>
      </c>
      <c r="B9" s="30"/>
      <c r="C9" s="30"/>
      <c r="D9" s="30"/>
      <c r="E9" s="31"/>
      <c r="F9" s="4">
        <v>29000</v>
      </c>
      <c r="G9" s="4">
        <v>42000</v>
      </c>
    </row>
    <row r="10" spans="1:9" x14ac:dyDescent="0.25">
      <c r="A10" s="32" t="s">
        <v>41</v>
      </c>
      <c r="B10" s="33"/>
      <c r="C10" s="33"/>
      <c r="D10" s="33"/>
      <c r="E10" s="34"/>
      <c r="F10" s="4">
        <v>32</v>
      </c>
      <c r="G10" s="4">
        <v>40</v>
      </c>
    </row>
    <row r="11" spans="1:9" x14ac:dyDescent="0.25">
      <c r="A11" s="35" t="s">
        <v>42</v>
      </c>
      <c r="B11" s="36"/>
      <c r="C11" s="36"/>
      <c r="D11" s="36"/>
      <c r="E11" s="37"/>
      <c r="F11" s="28">
        <v>0.2</v>
      </c>
      <c r="G11" s="28">
        <v>0.28000000000000003</v>
      </c>
    </row>
    <row r="13" spans="1:9" x14ac:dyDescent="0.25">
      <c r="A13" s="2" t="s">
        <v>45</v>
      </c>
      <c r="B13" s="2"/>
      <c r="C13" s="2"/>
      <c r="D13" s="2"/>
      <c r="E13" s="2"/>
      <c r="F13" s="2"/>
      <c r="G13" s="2"/>
      <c r="H13" s="2"/>
      <c r="I13" s="2"/>
    </row>
    <row r="14" spans="1:9" x14ac:dyDescent="0.25">
      <c r="A14" s="2" t="s">
        <v>46</v>
      </c>
      <c r="B14" s="2"/>
      <c r="C14" s="2"/>
      <c r="D14" s="2"/>
      <c r="E14" s="2"/>
      <c r="F14" s="2"/>
      <c r="G14" s="2"/>
      <c r="H14" s="2"/>
      <c r="I14" s="2"/>
    </row>
    <row r="15" spans="1:9" x14ac:dyDescent="0.25">
      <c r="A15" s="2" t="s">
        <v>47</v>
      </c>
      <c r="B15" s="2"/>
      <c r="C15" s="2"/>
      <c r="D15" s="2"/>
      <c r="E15" s="2"/>
      <c r="F15" s="2"/>
      <c r="G15" s="2"/>
      <c r="H15" s="2"/>
      <c r="I15" s="2"/>
    </row>
    <row r="16" spans="1:9" x14ac:dyDescent="0.25">
      <c r="A16" s="2" t="s">
        <v>48</v>
      </c>
      <c r="B16" s="2"/>
      <c r="C16" s="2"/>
      <c r="D16" s="2"/>
      <c r="E16" s="2"/>
      <c r="F16" s="2"/>
      <c r="G16" s="2"/>
      <c r="H16" s="2"/>
      <c r="I16" s="2"/>
    </row>
    <row r="17" spans="1:9" x14ac:dyDescent="0.25">
      <c r="A17" s="2" t="s">
        <v>49</v>
      </c>
      <c r="B17" s="2"/>
      <c r="C17" s="2"/>
      <c r="D17" s="2"/>
      <c r="E17" s="2"/>
      <c r="F17" s="2"/>
      <c r="G17" s="2"/>
      <c r="H17" s="2"/>
      <c r="I17" s="2"/>
    </row>
    <row r="18" spans="1:9" x14ac:dyDescent="0.25">
      <c r="A18" s="2" t="s">
        <v>50</v>
      </c>
      <c r="B18" s="2"/>
      <c r="C18" s="2"/>
      <c r="D18" s="2"/>
      <c r="E18" s="2"/>
      <c r="F18" s="2"/>
      <c r="G18" s="2"/>
      <c r="H18" s="2"/>
      <c r="I18" s="2"/>
    </row>
    <row r="19" spans="1:9" x14ac:dyDescent="0.25">
      <c r="A19" s="2" t="s">
        <v>51</v>
      </c>
      <c r="B19" s="2"/>
      <c r="C19" s="2"/>
      <c r="D19" s="2"/>
      <c r="E19" s="2"/>
      <c r="F19" s="2"/>
      <c r="G19" s="2"/>
      <c r="H19" s="2"/>
      <c r="I19" s="2"/>
    </row>
    <row r="20" spans="1:9" x14ac:dyDescent="0.25">
      <c r="A20" s="2" t="s">
        <v>52</v>
      </c>
      <c r="B20" s="2"/>
      <c r="C20" s="2"/>
      <c r="D20" s="2"/>
      <c r="E20" s="2"/>
      <c r="F20" s="2"/>
      <c r="G20" s="2"/>
      <c r="H20" s="2"/>
      <c r="I20" s="2"/>
    </row>
    <row r="21" spans="1:9" x14ac:dyDescent="0.25">
      <c r="A21" s="2" t="s">
        <v>73</v>
      </c>
      <c r="B21" s="2"/>
      <c r="C21" s="2"/>
      <c r="D21" s="2"/>
      <c r="E21" s="2"/>
      <c r="F21" s="2"/>
      <c r="G21" s="2"/>
      <c r="H21" s="2"/>
      <c r="I21" s="2"/>
    </row>
    <row r="23" spans="1:9" ht="15.6" x14ac:dyDescent="0.3">
      <c r="A23" s="9" t="s">
        <v>19</v>
      </c>
      <c r="B23" s="2"/>
      <c r="C23" s="2"/>
      <c r="D23" s="2"/>
      <c r="E23" s="2"/>
      <c r="F23" s="2"/>
      <c r="G23" s="2"/>
      <c r="H23" s="2"/>
      <c r="I23" s="2"/>
    </row>
    <row r="24" spans="1:9" x14ac:dyDescent="0.25">
      <c r="A24" s="2" t="s">
        <v>55</v>
      </c>
      <c r="B24" s="2"/>
      <c r="C24" s="2"/>
      <c r="D24" s="2"/>
      <c r="E24" s="2"/>
      <c r="F24" s="2"/>
      <c r="G24" s="2"/>
      <c r="H24" s="2"/>
      <c r="I24" s="2"/>
    </row>
    <row r="25" spans="1:9" x14ac:dyDescent="0.25">
      <c r="A25" s="8" t="s">
        <v>54</v>
      </c>
      <c r="B25" s="2"/>
      <c r="C25" s="2"/>
      <c r="D25" s="2"/>
      <c r="E25" s="2"/>
      <c r="F25" s="2"/>
      <c r="G25" s="2"/>
      <c r="H25" s="2"/>
      <c r="I25" s="2"/>
    </row>
    <row r="26" spans="1:9" x14ac:dyDescent="0.25">
      <c r="A26" s="8" t="s">
        <v>57</v>
      </c>
      <c r="B26" s="2"/>
      <c r="C26" s="2"/>
      <c r="D26" s="2"/>
      <c r="E26" s="2"/>
      <c r="F26" s="2"/>
      <c r="G26" s="2"/>
      <c r="H26" s="2"/>
      <c r="I26" s="2"/>
    </row>
    <row r="27" spans="1:9" x14ac:dyDescent="0.25">
      <c r="A27" s="8" t="s">
        <v>56</v>
      </c>
      <c r="B27" s="2"/>
      <c r="C27" s="2"/>
      <c r="D27" s="2"/>
      <c r="E27" s="2"/>
      <c r="F27" s="2"/>
      <c r="G27" s="2"/>
      <c r="H27" s="2"/>
      <c r="I27" s="2"/>
    </row>
    <row r="28" spans="1:9" x14ac:dyDescent="0.25">
      <c r="A28" s="8" t="s">
        <v>58</v>
      </c>
      <c r="B28" s="2"/>
      <c r="C28" s="2"/>
      <c r="D28" s="2"/>
      <c r="E28" s="2"/>
      <c r="F28" s="2"/>
      <c r="G28" s="2"/>
      <c r="H28" s="2"/>
      <c r="I28" s="2"/>
    </row>
    <row r="30" spans="1:9" x14ac:dyDescent="0.25">
      <c r="A30" s="2" t="s">
        <v>59</v>
      </c>
      <c r="B30" s="2"/>
      <c r="C30" s="2"/>
      <c r="D30" s="2"/>
      <c r="E30" s="2"/>
      <c r="F30" s="2"/>
      <c r="G30" s="2"/>
      <c r="H30" s="2"/>
      <c r="I30" s="2"/>
    </row>
    <row r="31" spans="1:9" x14ac:dyDescent="0.25">
      <c r="A31" s="2" t="s">
        <v>60</v>
      </c>
      <c r="B31" s="2"/>
      <c r="C31" s="2"/>
      <c r="D31" s="2"/>
      <c r="E31" s="2"/>
      <c r="F31" s="2"/>
      <c r="G31" s="2"/>
      <c r="H31" s="2"/>
      <c r="I31" s="2"/>
    </row>
    <row r="32" spans="1:9" x14ac:dyDescent="0.25">
      <c r="A32" s="2" t="s">
        <v>61</v>
      </c>
      <c r="B32" s="2"/>
      <c r="C32" s="2"/>
      <c r="D32" s="2"/>
      <c r="E32" s="2"/>
      <c r="F32" s="2"/>
      <c r="G32" s="2"/>
      <c r="H32" s="2"/>
      <c r="I32" s="2"/>
    </row>
    <row r="34" spans="2:6" ht="15.6" x14ac:dyDescent="0.25">
      <c r="D34" s="39" t="s">
        <v>43</v>
      </c>
      <c r="E34" s="39" t="s">
        <v>44</v>
      </c>
      <c r="F34" s="39" t="s">
        <v>14</v>
      </c>
    </row>
    <row r="35" spans="2:6" x14ac:dyDescent="0.25">
      <c r="B35" s="1" t="s">
        <v>62</v>
      </c>
      <c r="D35" s="1">
        <f>F10*F9</f>
        <v>928000</v>
      </c>
      <c r="E35" s="1">
        <f>G10*G9</f>
        <v>1680000</v>
      </c>
      <c r="F35" s="1">
        <f>D35+E35</f>
        <v>2608000</v>
      </c>
    </row>
    <row r="36" spans="2:6" x14ac:dyDescent="0.25">
      <c r="B36" s="1" t="s">
        <v>63</v>
      </c>
      <c r="D36" s="1">
        <f>F11*F10*F9</f>
        <v>185600</v>
      </c>
      <c r="E36" s="1">
        <f>G11*G10*G9</f>
        <v>470400.00000000006</v>
      </c>
      <c r="F36" s="1">
        <f t="shared" ref="F36:F48" si="0">D36+E36</f>
        <v>656000</v>
      </c>
    </row>
    <row r="37" spans="2:6" x14ac:dyDescent="0.25">
      <c r="B37" s="1" t="s">
        <v>64</v>
      </c>
      <c r="D37" s="1">
        <f>0.1*D35</f>
        <v>92800</v>
      </c>
      <c r="E37" s="1">
        <f>0.1*E35</f>
        <v>168000</v>
      </c>
      <c r="F37" s="1">
        <f t="shared" si="0"/>
        <v>260800</v>
      </c>
    </row>
    <row r="38" spans="2:6" ht="15.6" x14ac:dyDescent="0.3">
      <c r="B38" s="9" t="s">
        <v>65</v>
      </c>
      <c r="C38" s="9"/>
      <c r="D38" s="9">
        <f>D35-D36-D37</f>
        <v>649600</v>
      </c>
      <c r="E38" s="9">
        <f>E35-E36-E37</f>
        <v>1041600</v>
      </c>
      <c r="F38" s="9">
        <f t="shared" si="0"/>
        <v>1691200</v>
      </c>
    </row>
    <row r="39" spans="2:6" ht="15.6" x14ac:dyDescent="0.3">
      <c r="B39" s="38" t="s">
        <v>76</v>
      </c>
    </row>
    <row r="40" spans="2:6" x14ac:dyDescent="0.25">
      <c r="B40" s="1" t="s">
        <v>68</v>
      </c>
      <c r="D40" s="1">
        <f>9800</f>
        <v>9800</v>
      </c>
      <c r="F40" s="1">
        <f t="shared" si="0"/>
        <v>9800</v>
      </c>
    </row>
    <row r="41" spans="2:6" x14ac:dyDescent="0.25">
      <c r="B41" s="1" t="s">
        <v>74</v>
      </c>
      <c r="D41" s="1">
        <f>0.15*D35</f>
        <v>139200</v>
      </c>
      <c r="E41" s="1">
        <f>0.15*E35</f>
        <v>252000</v>
      </c>
      <c r="F41" s="1">
        <f t="shared" si="0"/>
        <v>391200</v>
      </c>
    </row>
    <row r="42" spans="2:6" x14ac:dyDescent="0.25">
      <c r="B42" s="1" t="s">
        <v>75</v>
      </c>
      <c r="D42" s="1">
        <f>120000</f>
        <v>120000</v>
      </c>
      <c r="E42" s="1">
        <v>150000</v>
      </c>
      <c r="F42" s="1">
        <f t="shared" si="0"/>
        <v>270000</v>
      </c>
    </row>
    <row r="43" spans="2:6" x14ac:dyDescent="0.25">
      <c r="B43" s="1" t="s">
        <v>66</v>
      </c>
      <c r="D43" s="1">
        <f>2*45000</f>
        <v>90000</v>
      </c>
      <c r="E43" s="1">
        <f>4*45000</f>
        <v>180000</v>
      </c>
      <c r="F43" s="1">
        <f t="shared" si="0"/>
        <v>270000</v>
      </c>
    </row>
    <row r="44" spans="2:6" ht="15.6" x14ac:dyDescent="0.3">
      <c r="B44" s="9" t="s">
        <v>67</v>
      </c>
      <c r="C44" s="9"/>
      <c r="D44" s="9">
        <f>D38-D40-D41-D43-D42</f>
        <v>290600</v>
      </c>
      <c r="E44" s="9">
        <f>E38-E40-E41-E43-E42</f>
        <v>459600</v>
      </c>
      <c r="F44" s="9">
        <f t="shared" si="0"/>
        <v>750200</v>
      </c>
    </row>
    <row r="45" spans="2:6" ht="15.6" x14ac:dyDescent="0.3">
      <c r="B45" s="38" t="s">
        <v>77</v>
      </c>
    </row>
    <row r="46" spans="2:6" x14ac:dyDescent="0.25">
      <c r="B46" s="1" t="s">
        <v>69</v>
      </c>
      <c r="D46" s="1">
        <f>104000</f>
        <v>104000</v>
      </c>
      <c r="E46" s="1">
        <f>78000</f>
        <v>78000</v>
      </c>
      <c r="F46" s="1">
        <f t="shared" si="0"/>
        <v>182000</v>
      </c>
    </row>
    <row r="47" spans="2:6" x14ac:dyDescent="0.25">
      <c r="B47" s="1" t="s">
        <v>70</v>
      </c>
      <c r="D47" s="1">
        <f>0.08*D35</f>
        <v>74240</v>
      </c>
      <c r="E47" s="1">
        <f>0.08*E35</f>
        <v>134400</v>
      </c>
      <c r="F47" s="1">
        <f t="shared" si="0"/>
        <v>208640</v>
      </c>
    </row>
    <row r="48" spans="2:6" ht="15.6" x14ac:dyDescent="0.3">
      <c r="B48" s="9" t="s">
        <v>71</v>
      </c>
      <c r="C48" s="9"/>
      <c r="D48" s="9">
        <f>D44-D46-D47</f>
        <v>112360</v>
      </c>
      <c r="E48" s="9">
        <f>E44-E46-E47</f>
        <v>247200</v>
      </c>
      <c r="F48" s="9">
        <f t="shared" si="0"/>
        <v>359560</v>
      </c>
    </row>
    <row r="49" spans="2:6" x14ac:dyDescent="0.25">
      <c r="B49" s="1" t="s">
        <v>78</v>
      </c>
      <c r="F49" s="1">
        <f>205000+128000</f>
        <v>333000</v>
      </c>
    </row>
    <row r="50" spans="2:6" ht="15.6" x14ac:dyDescent="0.3">
      <c r="B50" s="9" t="s">
        <v>72</v>
      </c>
      <c r="C50" s="9"/>
      <c r="D50" s="9"/>
      <c r="E50" s="9"/>
      <c r="F50" s="9">
        <f>F48-F49</f>
        <v>26560</v>
      </c>
    </row>
    <row r="52" spans="2:6" ht="15.6" x14ac:dyDescent="0.3">
      <c r="B52" s="10" t="s">
        <v>79</v>
      </c>
      <c r="C52" s="10"/>
      <c r="D52" s="40"/>
      <c r="E52" s="40">
        <f>E44/E35</f>
        <v>0.27357142857142858</v>
      </c>
    </row>
    <row r="53" spans="2:6" ht="15.6" x14ac:dyDescent="0.3">
      <c r="B53" s="10" t="s">
        <v>80</v>
      </c>
      <c r="C53" s="10"/>
      <c r="D53" s="12"/>
      <c r="E53" s="12">
        <f>E35/2800000</f>
        <v>0.6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4DE34-5251-4B2D-965C-8E95D8691EA4}">
  <dimension ref="A1:H24"/>
  <sheetViews>
    <sheetView workbookViewId="0">
      <selection sqref="A1:H1"/>
    </sheetView>
  </sheetViews>
  <sheetFormatPr defaultRowHeight="15" x14ac:dyDescent="0.25"/>
  <cols>
    <col min="1" max="16384" width="8.88671875" style="1"/>
  </cols>
  <sheetData>
    <row r="1" spans="1:8" ht="15.6" x14ac:dyDescent="0.3">
      <c r="A1" s="3" t="s">
        <v>83</v>
      </c>
      <c r="B1" s="2"/>
      <c r="C1" s="2"/>
      <c r="D1" s="2"/>
      <c r="E1" s="2"/>
      <c r="F1" s="2"/>
      <c r="G1" s="2"/>
      <c r="H1" s="2"/>
    </row>
    <row r="3" spans="1:8" x14ac:dyDescent="0.25">
      <c r="A3" s="2" t="s">
        <v>81</v>
      </c>
      <c r="B3" s="2"/>
      <c r="C3" s="2"/>
      <c r="D3" s="2"/>
      <c r="E3" s="2"/>
      <c r="F3" s="2"/>
      <c r="G3" s="2"/>
      <c r="H3" s="2"/>
    </row>
    <row r="4" spans="1:8" x14ac:dyDescent="0.25">
      <c r="A4" s="2" t="s">
        <v>82</v>
      </c>
      <c r="B4" s="2"/>
      <c r="C4" s="2"/>
      <c r="D4" s="2"/>
      <c r="E4" s="2"/>
      <c r="F4" s="2"/>
      <c r="G4" s="2"/>
      <c r="H4" s="2"/>
    </row>
    <row r="5" spans="1:8" ht="15.6" thickBot="1" x14ac:dyDescent="0.3"/>
    <row r="6" spans="1:8" x14ac:dyDescent="0.25">
      <c r="A6" s="41"/>
      <c r="B6" s="42"/>
      <c r="C6" s="42"/>
      <c r="D6" s="42"/>
      <c r="E6" s="42"/>
      <c r="F6" s="42"/>
      <c r="G6" s="42"/>
      <c r="H6" s="43"/>
    </row>
    <row r="7" spans="1:8" x14ac:dyDescent="0.25">
      <c r="A7" s="44"/>
      <c r="B7" s="45"/>
      <c r="C7" s="45"/>
      <c r="D7" s="45"/>
      <c r="E7" s="45"/>
      <c r="F7" s="45"/>
      <c r="G7" s="45"/>
      <c r="H7" s="46"/>
    </row>
    <row r="8" spans="1:8" x14ac:dyDescent="0.25">
      <c r="A8" s="44"/>
      <c r="B8" s="45"/>
      <c r="C8" s="45"/>
      <c r="D8" s="45"/>
      <c r="E8" s="45"/>
      <c r="F8" s="45"/>
      <c r="G8" s="45"/>
      <c r="H8" s="46"/>
    </row>
    <row r="9" spans="1:8" x14ac:dyDescent="0.25">
      <c r="A9" s="44"/>
      <c r="B9" s="45"/>
      <c r="C9" s="45"/>
      <c r="D9" s="45"/>
      <c r="E9" s="45"/>
      <c r="F9" s="45"/>
      <c r="G9" s="45"/>
      <c r="H9" s="46"/>
    </row>
    <row r="10" spans="1:8" x14ac:dyDescent="0.25">
      <c r="A10" s="44"/>
      <c r="B10" s="45"/>
      <c r="C10" s="45"/>
      <c r="D10" s="45"/>
      <c r="E10" s="45"/>
      <c r="F10" s="45"/>
      <c r="G10" s="45"/>
      <c r="H10" s="46"/>
    </row>
    <row r="11" spans="1:8" x14ac:dyDescent="0.25">
      <c r="A11" s="44"/>
      <c r="B11" s="45"/>
      <c r="C11" s="45"/>
      <c r="D11" s="45"/>
      <c r="E11" s="45"/>
      <c r="F11" s="45"/>
      <c r="G11" s="45"/>
      <c r="H11" s="46"/>
    </row>
    <row r="12" spans="1:8" x14ac:dyDescent="0.25">
      <c r="A12" s="44"/>
      <c r="B12" s="45"/>
      <c r="C12" s="45"/>
      <c r="D12" s="45"/>
      <c r="E12" s="45"/>
      <c r="F12" s="45"/>
      <c r="G12" s="45"/>
      <c r="H12" s="46"/>
    </row>
    <row r="13" spans="1:8" x14ac:dyDescent="0.25">
      <c r="A13" s="44"/>
      <c r="B13" s="45"/>
      <c r="C13" s="45"/>
      <c r="D13" s="45"/>
      <c r="E13" s="45"/>
      <c r="F13" s="45"/>
      <c r="G13" s="45"/>
      <c r="H13" s="46"/>
    </row>
    <row r="14" spans="1:8" x14ac:dyDescent="0.25">
      <c r="A14" s="44"/>
      <c r="B14" s="45"/>
      <c r="C14" s="45"/>
      <c r="D14" s="45"/>
      <c r="E14" s="45"/>
      <c r="F14" s="45"/>
      <c r="G14" s="45"/>
      <c r="H14" s="46"/>
    </row>
    <row r="15" spans="1:8" x14ac:dyDescent="0.25">
      <c r="A15" s="44"/>
      <c r="B15" s="45"/>
      <c r="C15" s="45"/>
      <c r="D15" s="45"/>
      <c r="E15" s="45"/>
      <c r="F15" s="45"/>
      <c r="G15" s="45"/>
      <c r="H15" s="46"/>
    </row>
    <row r="16" spans="1:8" x14ac:dyDescent="0.25">
      <c r="A16" s="44"/>
      <c r="B16" s="45"/>
      <c r="C16" s="45"/>
      <c r="D16" s="45"/>
      <c r="E16" s="45"/>
      <c r="F16" s="45"/>
      <c r="G16" s="45"/>
      <c r="H16" s="46"/>
    </row>
    <row r="17" spans="1:8" x14ac:dyDescent="0.25">
      <c r="A17" s="44"/>
      <c r="B17" s="45"/>
      <c r="C17" s="45"/>
      <c r="D17" s="45"/>
      <c r="E17" s="45"/>
      <c r="F17" s="45"/>
      <c r="G17" s="45"/>
      <c r="H17" s="46"/>
    </row>
    <row r="18" spans="1:8" x14ac:dyDescent="0.25">
      <c r="A18" s="44"/>
      <c r="B18" s="45"/>
      <c r="C18" s="45"/>
      <c r="D18" s="45"/>
      <c r="E18" s="45"/>
      <c r="F18" s="45"/>
      <c r="G18" s="45"/>
      <c r="H18" s="46"/>
    </row>
    <row r="19" spans="1:8" x14ac:dyDescent="0.25">
      <c r="A19" s="44"/>
      <c r="B19" s="45"/>
      <c r="C19" s="45"/>
      <c r="D19" s="45"/>
      <c r="E19" s="45"/>
      <c r="F19" s="45"/>
      <c r="G19" s="45"/>
      <c r="H19" s="46"/>
    </row>
    <row r="20" spans="1:8" x14ac:dyDescent="0.25">
      <c r="A20" s="44"/>
      <c r="B20" s="45"/>
      <c r="C20" s="45"/>
      <c r="D20" s="45"/>
      <c r="E20" s="45"/>
      <c r="F20" s="45"/>
      <c r="G20" s="45"/>
      <c r="H20" s="46"/>
    </row>
    <row r="21" spans="1:8" x14ac:dyDescent="0.25">
      <c r="A21" s="44"/>
      <c r="B21" s="45"/>
      <c r="C21" s="45"/>
      <c r="D21" s="45"/>
      <c r="E21" s="45"/>
      <c r="F21" s="45"/>
      <c r="G21" s="45"/>
      <c r="H21" s="46"/>
    </row>
    <row r="22" spans="1:8" x14ac:dyDescent="0.25">
      <c r="A22" s="44"/>
      <c r="B22" s="45"/>
      <c r="C22" s="45"/>
      <c r="D22" s="45"/>
      <c r="E22" s="45"/>
      <c r="F22" s="45"/>
      <c r="G22" s="45"/>
      <c r="H22" s="46"/>
    </row>
    <row r="23" spans="1:8" x14ac:dyDescent="0.25">
      <c r="A23" s="44"/>
      <c r="B23" s="45"/>
      <c r="C23" s="45"/>
      <c r="D23" s="45"/>
      <c r="E23" s="45"/>
      <c r="F23" s="45"/>
      <c r="G23" s="45"/>
      <c r="H23" s="46"/>
    </row>
    <row r="24" spans="1:8" ht="15.6" thickBot="1" x14ac:dyDescent="0.3">
      <c r="A24" s="47"/>
      <c r="B24" s="48"/>
      <c r="C24" s="48"/>
      <c r="D24" s="48"/>
      <c r="E24" s="48"/>
      <c r="F24" s="48"/>
      <c r="G24" s="48"/>
      <c r="H24" s="4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D2AB3-EF19-4345-8063-18F71175E613}">
  <dimension ref="A1:H4"/>
  <sheetViews>
    <sheetView workbookViewId="0">
      <selection activeCell="A6" sqref="A6"/>
    </sheetView>
  </sheetViews>
  <sheetFormatPr defaultRowHeight="15" x14ac:dyDescent="0.25"/>
  <cols>
    <col min="1" max="16384" width="8.88671875" style="1"/>
  </cols>
  <sheetData>
    <row r="1" spans="1:8" ht="15.6" x14ac:dyDescent="0.3">
      <c r="A1" s="3" t="s">
        <v>83</v>
      </c>
      <c r="B1" s="2"/>
      <c r="C1" s="2"/>
      <c r="D1" s="2"/>
      <c r="E1" s="2"/>
      <c r="F1" s="2"/>
      <c r="G1" s="2"/>
      <c r="H1" s="2"/>
    </row>
    <row r="3" spans="1:8" x14ac:dyDescent="0.25">
      <c r="A3" s="2" t="s">
        <v>81</v>
      </c>
      <c r="B3" s="2"/>
      <c r="C3" s="2"/>
      <c r="D3" s="2"/>
      <c r="E3" s="2"/>
      <c r="F3" s="2"/>
      <c r="G3" s="2"/>
      <c r="H3" s="2"/>
    </row>
    <row r="4" spans="1:8" x14ac:dyDescent="0.25">
      <c r="A4" s="2" t="s">
        <v>82</v>
      </c>
      <c r="B4" s="2"/>
      <c r="C4" s="2"/>
      <c r="D4" s="2"/>
      <c r="E4" s="2"/>
      <c r="F4" s="2"/>
      <c r="G4" s="2"/>
      <c r="H4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4DB24-719A-4C66-AD41-729DCAF58E5B}">
  <dimension ref="A1:H24"/>
  <sheetViews>
    <sheetView tabSelected="1" workbookViewId="0">
      <selection activeCell="K11" sqref="K11"/>
    </sheetView>
  </sheetViews>
  <sheetFormatPr defaultRowHeight="15" x14ac:dyDescent="0.25"/>
  <cols>
    <col min="1" max="16384" width="8.88671875" style="1"/>
  </cols>
  <sheetData>
    <row r="1" spans="1:8" ht="15.6" x14ac:dyDescent="0.3">
      <c r="A1" s="3" t="s">
        <v>83</v>
      </c>
      <c r="B1" s="2"/>
      <c r="C1" s="2"/>
      <c r="D1" s="2"/>
      <c r="E1" s="2"/>
      <c r="F1" s="2"/>
      <c r="G1" s="2"/>
      <c r="H1" s="2"/>
    </row>
    <row r="3" spans="1:8" x14ac:dyDescent="0.25">
      <c r="A3" s="2" t="s">
        <v>84</v>
      </c>
      <c r="B3" s="2"/>
      <c r="C3" s="2"/>
      <c r="D3" s="2"/>
      <c r="E3" s="2"/>
      <c r="F3" s="2"/>
      <c r="G3" s="2"/>
      <c r="H3" s="2"/>
    </row>
    <row r="4" spans="1:8" ht="15.6" thickBot="1" x14ac:dyDescent="0.3"/>
    <row r="5" spans="1:8" x14ac:dyDescent="0.25">
      <c r="A5" s="41"/>
      <c r="B5" s="42"/>
      <c r="C5" s="42"/>
      <c r="D5" s="42"/>
      <c r="E5" s="42"/>
      <c r="F5" s="42"/>
      <c r="G5" s="42"/>
      <c r="H5" s="43"/>
    </row>
    <row r="6" spans="1:8" x14ac:dyDescent="0.25">
      <c r="A6" s="44"/>
      <c r="B6" s="45"/>
      <c r="C6" s="45"/>
      <c r="D6" s="45"/>
      <c r="E6" s="45"/>
      <c r="F6" s="45"/>
      <c r="G6" s="45"/>
      <c r="H6" s="46"/>
    </row>
    <row r="7" spans="1:8" x14ac:dyDescent="0.25">
      <c r="A7" s="44"/>
      <c r="B7" s="45"/>
      <c r="C7" s="45"/>
      <c r="D7" s="45"/>
      <c r="E7" s="45"/>
      <c r="F7" s="45"/>
      <c r="G7" s="45"/>
      <c r="H7" s="46"/>
    </row>
    <row r="8" spans="1:8" x14ac:dyDescent="0.25">
      <c r="A8" s="44"/>
      <c r="B8" s="45"/>
      <c r="C8" s="45"/>
      <c r="D8" s="45"/>
      <c r="E8" s="45"/>
      <c r="F8" s="45"/>
      <c r="G8" s="45"/>
      <c r="H8" s="46"/>
    </row>
    <row r="9" spans="1:8" x14ac:dyDescent="0.25">
      <c r="A9" s="44"/>
      <c r="B9" s="45"/>
      <c r="C9" s="45"/>
      <c r="D9" s="45"/>
      <c r="E9" s="45"/>
      <c r="F9" s="45"/>
      <c r="G9" s="45"/>
      <c r="H9" s="46"/>
    </row>
    <row r="10" spans="1:8" x14ac:dyDescent="0.25">
      <c r="A10" s="44"/>
      <c r="B10" s="45"/>
      <c r="C10" s="45"/>
      <c r="D10" s="45"/>
      <c r="E10" s="45"/>
      <c r="F10" s="45"/>
      <c r="G10" s="45"/>
      <c r="H10" s="46"/>
    </row>
    <row r="11" spans="1:8" x14ac:dyDescent="0.25">
      <c r="A11" s="44"/>
      <c r="B11" s="45"/>
      <c r="C11" s="45"/>
      <c r="D11" s="45"/>
      <c r="E11" s="45"/>
      <c r="F11" s="45"/>
      <c r="G11" s="45"/>
      <c r="H11" s="46"/>
    </row>
    <row r="12" spans="1:8" x14ac:dyDescent="0.25">
      <c r="A12" s="44"/>
      <c r="B12" s="45"/>
      <c r="C12" s="45"/>
      <c r="D12" s="45"/>
      <c r="E12" s="45"/>
      <c r="F12" s="45"/>
      <c r="G12" s="45"/>
      <c r="H12" s="46"/>
    </row>
    <row r="13" spans="1:8" x14ac:dyDescent="0.25">
      <c r="A13" s="44"/>
      <c r="B13" s="45"/>
      <c r="C13" s="45"/>
      <c r="D13" s="45"/>
      <c r="E13" s="45"/>
      <c r="F13" s="45"/>
      <c r="G13" s="45"/>
      <c r="H13" s="46"/>
    </row>
    <row r="14" spans="1:8" x14ac:dyDescent="0.25">
      <c r="A14" s="44"/>
      <c r="B14" s="45"/>
      <c r="C14" s="45"/>
      <c r="D14" s="45"/>
      <c r="E14" s="45"/>
      <c r="F14" s="45"/>
      <c r="G14" s="45"/>
      <c r="H14" s="46"/>
    </row>
    <row r="15" spans="1:8" x14ac:dyDescent="0.25">
      <c r="A15" s="44"/>
      <c r="B15" s="45"/>
      <c r="C15" s="45"/>
      <c r="D15" s="45"/>
      <c r="E15" s="45"/>
      <c r="F15" s="45"/>
      <c r="G15" s="45"/>
      <c r="H15" s="46"/>
    </row>
    <row r="16" spans="1:8" x14ac:dyDescent="0.25">
      <c r="A16" s="44"/>
      <c r="B16" s="45"/>
      <c r="C16" s="45"/>
      <c r="D16" s="45"/>
      <c r="E16" s="45"/>
      <c r="F16" s="45"/>
      <c r="G16" s="45"/>
      <c r="H16" s="46"/>
    </row>
    <row r="17" spans="1:8" x14ac:dyDescent="0.25">
      <c r="A17" s="44"/>
      <c r="B17" s="45"/>
      <c r="C17" s="45"/>
      <c r="D17" s="45"/>
      <c r="E17" s="45"/>
      <c r="F17" s="45"/>
      <c r="G17" s="45"/>
      <c r="H17" s="46"/>
    </row>
    <row r="18" spans="1:8" x14ac:dyDescent="0.25">
      <c r="A18" s="44"/>
      <c r="B18" s="45"/>
      <c r="C18" s="45"/>
      <c r="D18" s="45"/>
      <c r="E18" s="45"/>
      <c r="F18" s="45"/>
      <c r="G18" s="45"/>
      <c r="H18" s="46"/>
    </row>
    <row r="19" spans="1:8" x14ac:dyDescent="0.25">
      <c r="A19" s="44"/>
      <c r="B19" s="45"/>
      <c r="C19" s="45"/>
      <c r="D19" s="45"/>
      <c r="E19" s="45"/>
      <c r="F19" s="45"/>
      <c r="G19" s="45"/>
      <c r="H19" s="46"/>
    </row>
    <row r="20" spans="1:8" x14ac:dyDescent="0.25">
      <c r="A20" s="44"/>
      <c r="B20" s="45"/>
      <c r="C20" s="45"/>
      <c r="D20" s="45"/>
      <c r="E20" s="45"/>
      <c r="F20" s="45"/>
      <c r="G20" s="45"/>
      <c r="H20" s="46"/>
    </row>
    <row r="21" spans="1:8" x14ac:dyDescent="0.25">
      <c r="A21" s="44"/>
      <c r="B21" s="45"/>
      <c r="C21" s="45"/>
      <c r="D21" s="45"/>
      <c r="E21" s="45"/>
      <c r="F21" s="45"/>
      <c r="G21" s="45"/>
      <c r="H21" s="46"/>
    </row>
    <row r="22" spans="1:8" x14ac:dyDescent="0.25">
      <c r="A22" s="44"/>
      <c r="B22" s="45"/>
      <c r="C22" s="45"/>
      <c r="D22" s="45"/>
      <c r="E22" s="45"/>
      <c r="F22" s="45"/>
      <c r="G22" s="45"/>
      <c r="H22" s="46"/>
    </row>
    <row r="23" spans="1:8" x14ac:dyDescent="0.25">
      <c r="A23" s="44"/>
      <c r="B23" s="45"/>
      <c r="C23" s="45"/>
      <c r="D23" s="45"/>
      <c r="E23" s="45"/>
      <c r="F23" s="45"/>
      <c r="G23" s="45"/>
      <c r="H23" s="46"/>
    </row>
    <row r="24" spans="1:8" ht="15.6" thickBot="1" x14ac:dyDescent="0.3">
      <c r="A24" s="47"/>
      <c r="B24" s="48"/>
      <c r="C24" s="48"/>
      <c r="D24" s="48"/>
      <c r="E24" s="48"/>
      <c r="F24" s="48"/>
      <c r="G24" s="48"/>
      <c r="H24" s="49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10081-D69C-44FE-8880-EC3FE28F80B5}">
  <dimension ref="A1:H5"/>
  <sheetViews>
    <sheetView workbookViewId="0">
      <selection activeCell="D6" sqref="D6"/>
    </sheetView>
  </sheetViews>
  <sheetFormatPr defaultRowHeight="15" x14ac:dyDescent="0.25"/>
  <cols>
    <col min="1" max="16384" width="8.88671875" style="1"/>
  </cols>
  <sheetData>
    <row r="1" spans="1:8" ht="15.6" x14ac:dyDescent="0.3">
      <c r="A1" s="3" t="s">
        <v>83</v>
      </c>
      <c r="B1" s="2"/>
      <c r="C1" s="2"/>
      <c r="D1" s="2"/>
      <c r="E1" s="2"/>
      <c r="F1" s="2"/>
      <c r="G1" s="2"/>
      <c r="H1" s="2"/>
    </row>
    <row r="3" spans="1:8" x14ac:dyDescent="0.25">
      <c r="A3" s="2" t="s">
        <v>84</v>
      </c>
      <c r="B3" s="2"/>
      <c r="C3" s="2"/>
      <c r="D3" s="2"/>
      <c r="E3" s="2"/>
      <c r="F3" s="2"/>
      <c r="G3" s="2"/>
      <c r="H3" s="2"/>
    </row>
    <row r="5" spans="1:8" ht="15.6" x14ac:dyDescent="0.3">
      <c r="D5" s="38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9</vt:i4>
      </vt:variant>
    </vt:vector>
  </HeadingPairs>
  <TitlesOfParts>
    <vt:vector size="9" baseType="lpstr">
      <vt:lpstr>Anagrafica</vt:lpstr>
      <vt:lpstr>Esercizio 1</vt:lpstr>
      <vt:lpstr>Soluzione 1</vt:lpstr>
      <vt:lpstr>Esercizio 2</vt:lpstr>
      <vt:lpstr>Soluzione 2</vt:lpstr>
      <vt:lpstr>Domanda 1</vt:lpstr>
      <vt:lpstr>Risposta 1</vt:lpstr>
      <vt:lpstr>Domanda 2</vt:lpstr>
      <vt:lpstr>Risposta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2023-05-12T16:57:41Z</dcterms:created>
  <dcterms:modified xsi:type="dcterms:W3CDTF">2023-05-13T09:28:07Z</dcterms:modified>
</cp:coreProperties>
</file>