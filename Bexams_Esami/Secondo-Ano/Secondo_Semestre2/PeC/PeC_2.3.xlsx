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cconi - appunti e dispense\Secondo Anno - II Semestre\Programmazione e Controllo\"/>
    </mc:Choice>
  </mc:AlternateContent>
  <xr:revisionPtr revIDLastSave="0" documentId="13_ncr:1_{A6A95056-BEF6-4A4F-9691-3D8C56FB1119}" xr6:coauthVersionLast="47" xr6:coauthVersionMax="47" xr10:uidLastSave="{00000000-0000-0000-0000-000000000000}"/>
  <bookViews>
    <workbookView xWindow="-108" yWindow="-108" windowWidth="23256" windowHeight="12576" firstSheet="1" activeTab="3" xr2:uid="{9DDB41DE-8375-4C82-BC54-E51AA8639568}"/>
  </bookViews>
  <sheets>
    <sheet name="Anagrafica" sheetId="1" r:id="rId1"/>
    <sheet name="Esercizio 1" sheetId="2" r:id="rId2"/>
    <sheet name="Soluzione 1" sheetId="4" r:id="rId3"/>
    <sheet name="Esercizio 2" sheetId="5" r:id="rId4"/>
    <sheet name="Soluzione 2" sheetId="6" r:id="rId5"/>
    <sheet name="Domanda 1" sheetId="7" r:id="rId6"/>
    <sheet name="Risposta 1" sheetId="8" r:id="rId7"/>
    <sheet name="Domanda 2" sheetId="9" r:id="rId8"/>
    <sheet name="Risposta 2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3" i="6" l="1"/>
  <c r="I38" i="6"/>
  <c r="F38" i="6"/>
  <c r="I52" i="6"/>
  <c r="I37" i="6"/>
  <c r="F37" i="6"/>
  <c r="I36" i="6"/>
  <c r="F36" i="6"/>
  <c r="C38" i="6"/>
  <c r="C61" i="6"/>
  <c r="I60" i="6"/>
  <c r="H45" i="6"/>
  <c r="H44" i="6"/>
  <c r="E52" i="6"/>
  <c r="C52" i="6"/>
  <c r="H52" i="6"/>
  <c r="I35" i="6"/>
  <c r="H36" i="6"/>
  <c r="F35" i="6"/>
  <c r="F43" i="6"/>
  <c r="E43" i="6"/>
  <c r="F42" i="6"/>
  <c r="E42" i="6"/>
  <c r="C59" i="6"/>
  <c r="E38" i="6" s="1"/>
  <c r="F60" i="6"/>
  <c r="B62" i="6"/>
  <c r="F59" i="6" s="1"/>
  <c r="C45" i="6"/>
  <c r="I59" i="6"/>
  <c r="B61" i="6"/>
  <c r="B60" i="6"/>
  <c r="F41" i="6"/>
  <c r="E41" i="6"/>
  <c r="C44" i="6"/>
  <c r="E37" i="6" s="1"/>
  <c r="E36" i="6"/>
  <c r="C36" i="6"/>
  <c r="B59" i="6" s="1"/>
  <c r="C66" i="6" s="1"/>
  <c r="C35" i="6"/>
  <c r="H35" i="6"/>
  <c r="B35" i="6"/>
  <c r="B16" i="6"/>
  <c r="E35" i="6" s="1"/>
  <c r="E44" i="6" s="1"/>
  <c r="B16" i="5"/>
  <c r="D62" i="4"/>
  <c r="D46" i="4"/>
  <c r="D57" i="4"/>
  <c r="D56" i="4"/>
  <c r="D63" i="4"/>
  <c r="D61" i="4"/>
  <c r="D52" i="4"/>
  <c r="D51" i="4"/>
  <c r="D39" i="4"/>
  <c r="D41" i="4" s="1"/>
  <c r="D40" i="4"/>
  <c r="D38" i="4"/>
  <c r="D37" i="4"/>
</calcChain>
</file>

<file path=xl/sharedStrings.xml><?xml version="1.0" encoding="utf-8"?>
<sst xmlns="http://schemas.openxmlformats.org/spreadsheetml/2006/main" count="248" uniqueCount="109">
  <si>
    <t>Nome</t>
  </si>
  <si>
    <t>Cognome</t>
  </si>
  <si>
    <t>Matricola</t>
  </si>
  <si>
    <t>Classe</t>
  </si>
  <si>
    <t>Esame di Programmazione &amp; Controllo - Simulazione II Prova Intermedia</t>
  </si>
  <si>
    <t>Esercizio 1 (4 punti)</t>
  </si>
  <si>
    <t>La Level SpA produce il prodotto Orion, la cui scheda standard vede:</t>
  </si>
  <si>
    <t>Materiali diretti</t>
  </si>
  <si>
    <t>Manodopera diretta</t>
  </si>
  <si>
    <t>Costi indiretti variabili</t>
  </si>
  <si>
    <t>Prezzo standard</t>
  </si>
  <si>
    <t>Costo standard</t>
  </si>
  <si>
    <t>Quantità standard</t>
  </si>
  <si>
    <t>Orion - Costi Variabili</t>
  </si>
  <si>
    <t>si registrano i seguenti dati:</t>
  </si>
  <si>
    <t>Si rilevano inoltre, a fine anno, i seguenti dati consuntivi:</t>
  </si>
  <si>
    <t>Costi consuntivi</t>
  </si>
  <si>
    <t>Costo dei materiali diretti</t>
  </si>
  <si>
    <t>Costo della manodopera diretta</t>
  </si>
  <si>
    <t>Costi indiretti variabili di produzione</t>
  </si>
  <si>
    <t>Importi</t>
  </si>
  <si>
    <t>Consumi consuntivi</t>
  </si>
  <si>
    <t>Kg di materiali impiegati</t>
  </si>
  <si>
    <t>Ore MOD impiegate</t>
  </si>
  <si>
    <t>Consumi</t>
  </si>
  <si>
    <t>Sapendo che i costi variabili sono allocati al costo dei materiali diretti, si proceda a:</t>
  </si>
  <si>
    <t>2) si calcolino gli scostamenti di spesa ed efficienza della manodopera diretta, indicando se Favorevoli o Sfavorevoli;</t>
  </si>
  <si>
    <t>3) si calcolino gli scostamenti di spesa ed efficienza dei costi variabili, indicando se Favorevoli o Sfavorevoli;</t>
  </si>
  <si>
    <t>4) si calcolino gli scostamenti di spesa, volume di produzione ed assorbimento dei costi indiretti fissi.</t>
  </si>
  <si>
    <t>Costi indiretti fissi effettivi</t>
  </si>
  <si>
    <t>Costi indiretti fissi</t>
  </si>
  <si>
    <t>Totale</t>
  </si>
  <si>
    <t>1A) Budget flessibile</t>
  </si>
  <si>
    <t>Scostamento di efficienza</t>
  </si>
  <si>
    <t>Valore</t>
  </si>
  <si>
    <t>(F/SF)</t>
  </si>
  <si>
    <t>2) Calcolo scostamenti manodopera diretta</t>
  </si>
  <si>
    <t>Scostamento di prezzo</t>
  </si>
  <si>
    <t>SF</t>
  </si>
  <si>
    <t>Scostamento di impiego</t>
  </si>
  <si>
    <t>F</t>
  </si>
  <si>
    <t>3) Calcolo scostamenti costi indiretti variabili</t>
  </si>
  <si>
    <t>4) Calcolo scostamenti costi indiretti fissi</t>
  </si>
  <si>
    <t>Scostamento di spesa</t>
  </si>
  <si>
    <t>Scostamento di volume</t>
  </si>
  <si>
    <t>Delta assorbimento</t>
  </si>
  <si>
    <t>1B) Scostamento totale</t>
  </si>
  <si>
    <t>Scostamento totale</t>
  </si>
  <si>
    <t>1) elaborare il budget flessibile dei costi di produzione, quindi calcolare lo scostamento totale;</t>
  </si>
  <si>
    <t xml:space="preserve">Quanto ai volumi ed ai costi fissi di produzione, la cui base di ripartizione sono i volumi di produzione, </t>
  </si>
  <si>
    <t>Scostamento dal budget dei costi indiretti fissi</t>
  </si>
  <si>
    <t>Volumi di produzione programmati</t>
  </si>
  <si>
    <t>Volumi di produzione a consuntivo</t>
  </si>
  <si>
    <t>Esercizio 2 (5 punti)</t>
  </si>
  <si>
    <t>nel quale i costi indiretti di produzione vengono allocati in base al costo dei Materiali Diretti.</t>
  </si>
  <si>
    <t xml:space="preserve">Nel corso del mese di aprile l'azienda ha in produzione due commesse: la Moon, per complessivi 15 lotti </t>
  </si>
  <si>
    <t>di produzione, iniziata a Marzo, e la Ocean, per complessivi 32 lotti di produzione, inziata ad Aprile.</t>
  </si>
  <si>
    <t>La House Srl produce su commessa tende per balconi. L'azienda impiega un JOCAS a valori normalizzati</t>
  </si>
  <si>
    <t>MOD</t>
  </si>
  <si>
    <t>MOI</t>
  </si>
  <si>
    <t>MOON</t>
  </si>
  <si>
    <t>OCEAN</t>
  </si>
  <si>
    <t>Marzo</t>
  </si>
  <si>
    <t>Aprile</t>
  </si>
  <si>
    <t xml:space="preserve">Altri CIP </t>
  </si>
  <si>
    <t>Materie prime                       (80% MD, 20% MI)</t>
  </si>
  <si>
    <t>--</t>
  </si>
  <si>
    <t>Totale commessa</t>
  </si>
  <si>
    <t>- il prelievo e l'impiego di Materiali diretti ed Indiretti</t>
  </si>
  <si>
    <t>- il sostenimento dei costi indiretti effettivi e la loro imputazione</t>
  </si>
  <si>
    <t>- le rimanenze finali di tutti i magazzini aperti</t>
  </si>
  <si>
    <r>
      <t xml:space="preserve">Con riferimento al mese di </t>
    </r>
    <r>
      <rPr>
        <u/>
        <sz val="12"/>
        <color theme="1"/>
        <rFont val="Arial"/>
        <family val="2"/>
      </rPr>
      <t>aprile</t>
    </r>
    <r>
      <rPr>
        <sz val="12"/>
        <color theme="1"/>
        <rFont val="Arial"/>
        <family val="2"/>
      </rPr>
      <t>, si compilino i mastri sotto riportati, rilevando:</t>
    </r>
  </si>
  <si>
    <t>RF</t>
  </si>
  <si>
    <t>Materie Prime</t>
  </si>
  <si>
    <t>Magazzino SL</t>
  </si>
  <si>
    <t>Prodotti finiti</t>
  </si>
  <si>
    <t>Debiti v/dipendenti</t>
  </si>
  <si>
    <t>Debiti v/fornitori</t>
  </si>
  <si>
    <t>Ricavi</t>
  </si>
  <si>
    <t>Crediti v/clienti</t>
  </si>
  <si>
    <t>- la vendita di 10 lotti della commessa MOON, per un costo unitario/lotto di 34.000 euro</t>
  </si>
  <si>
    <t>Costo del Venduto</t>
  </si>
  <si>
    <t>Controllo CIP</t>
  </si>
  <si>
    <t>F.ndo Ammortamento</t>
  </si>
  <si>
    <t>Assicurazioni</t>
  </si>
  <si>
    <t>Debiti diversi</t>
  </si>
  <si>
    <t>Nelle schede di commessa, prima dell'imputazione di Aprile, si registrano i seguenti costi:</t>
  </si>
  <si>
    <t>Costi generali</t>
  </si>
  <si>
    <t>- il completamento di 12 lotti della commessa MOON</t>
  </si>
  <si>
    <t xml:space="preserve">  sono pari a 65.000 euro</t>
  </si>
  <si>
    <t>- le rimanenze iniziali del mese, sapendo che quelle di Materie Prime sono pari a 180.000 euro e quelle di Prodotti Finiti</t>
  </si>
  <si>
    <t>- i costi della Manodopera Diretta ed Indiretta, sapendo che vengono registrati 45.000 euro di Manodopera Indiretta</t>
  </si>
  <si>
    <t xml:space="preserve">  per il mese di Aprile</t>
  </si>
  <si>
    <t>- si noti che si registrano altresì 10.000 euro in assicurazioni, di cui il 90% relative alla produzione, nonché 98.000 euro</t>
  </si>
  <si>
    <t xml:space="preserve">  di ammortamenti, di cui 90.000 relativi alla produzione</t>
  </si>
  <si>
    <r>
      <t xml:space="preserve">  Si proceda a rettificarlo, considerandolo </t>
    </r>
    <r>
      <rPr>
        <u/>
        <sz val="12"/>
        <color theme="1"/>
        <rFont val="Arial"/>
        <family val="2"/>
      </rPr>
      <t>significativo</t>
    </r>
    <r>
      <rPr>
        <sz val="12"/>
        <color theme="1"/>
        <rFont val="Arial"/>
        <family val="2"/>
      </rPr>
      <t>.</t>
    </r>
  </si>
  <si>
    <t>- il delta assorbimento dei Costi Indiretti di Produzione, specificando se si tratta di Sovrassorbimento o Sottoassorbimento.</t>
  </si>
  <si>
    <t>Sovrassb</t>
  </si>
  <si>
    <t>Sovr</t>
  </si>
  <si>
    <t>RF rettif</t>
  </si>
  <si>
    <t>CDV rettif</t>
  </si>
  <si>
    <t>Domanda 1 (2 punti)</t>
  </si>
  <si>
    <t>Indicare in sintesi le differenze che si riscontrano fra misurazione dei costi per Job Costing</t>
  </si>
  <si>
    <t>e per Process Costing, soprattutto in merito alla rilevazione contabile.</t>
  </si>
  <si>
    <t>Si veda la teoria del capitolo</t>
  </si>
  <si>
    <t>Domanda 2 (2 punti)</t>
  </si>
  <si>
    <t>Con riferimento ai modelli di misurazione delle performance e di reporting direzionale</t>
  </si>
  <si>
    <t xml:space="preserve"> orientati alla sostenibilità, ed in particolare facendo riferimento alla </t>
  </si>
  <si>
    <t>"Sustainability Balanced Scorecard", si descrivano brevemente i modelli proposti dalla letteratura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</si>
</sst>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  <numFmt numFmtId="165" formatCode="#,##0.00\ &quot;€&quot;"/>
    <numFmt numFmtId="166" formatCode="#,##0\ &quot;€&quot;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i/>
      <sz val="12"/>
      <color theme="1"/>
      <name val="Arial"/>
      <family val="2"/>
    </font>
    <font>
      <sz val="12"/>
      <color rgb="FFFF0000"/>
      <name val="Arial"/>
      <family val="2"/>
    </font>
    <font>
      <u/>
      <sz val="12"/>
      <color theme="1"/>
      <name val="Arial"/>
      <family val="2"/>
    </font>
    <font>
      <i/>
      <sz val="12"/>
      <color theme="1"/>
      <name val="Arial"/>
      <family val="2"/>
    </font>
    <font>
      <sz val="12"/>
      <color theme="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4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horizontal="left" vertical="top" wrapText="1"/>
    </xf>
    <xf numFmtId="0" fontId="3" fillId="2" borderId="0" xfId="0" applyFont="1" applyFill="1"/>
    <xf numFmtId="0" fontId="2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4" fillId="3" borderId="0" xfId="0" applyFont="1" applyFill="1"/>
    <xf numFmtId="0" fontId="5" fillId="3" borderId="0" xfId="0" applyFont="1" applyFill="1"/>
    <xf numFmtId="44" fontId="4" fillId="2" borderId="3" xfId="1" applyFont="1" applyFill="1" applyBorder="1"/>
    <xf numFmtId="44" fontId="5" fillId="2" borderId="3" xfId="1" applyFont="1" applyFill="1" applyBorder="1" applyAlignment="1">
      <alignment horizontal="center"/>
    </xf>
    <xf numFmtId="44" fontId="5" fillId="2" borderId="3" xfId="1" applyFont="1" applyFill="1" applyBorder="1" applyAlignment="1"/>
    <xf numFmtId="0" fontId="5" fillId="2" borderId="3" xfId="0" applyFont="1" applyFill="1" applyBorder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left"/>
    </xf>
    <xf numFmtId="44" fontId="5" fillId="2" borderId="6" xfId="1" applyFont="1" applyFill="1" applyBorder="1" applyAlignment="1"/>
    <xf numFmtId="44" fontId="5" fillId="2" borderId="4" xfId="1" applyFont="1" applyFill="1" applyBorder="1" applyAlignment="1">
      <alignment horizontal="left"/>
    </xf>
    <xf numFmtId="44" fontId="5" fillId="2" borderId="5" xfId="1" applyFont="1" applyFill="1" applyBorder="1" applyAlignment="1">
      <alignment horizontal="left"/>
    </xf>
    <xf numFmtId="164" fontId="5" fillId="2" borderId="3" xfId="1" applyNumberFormat="1" applyFont="1" applyFill="1" applyBorder="1"/>
    <xf numFmtId="0" fontId="4" fillId="2" borderId="3" xfId="0" applyFont="1" applyFill="1" applyBorder="1" applyAlignment="1">
      <alignment horizontal="center"/>
    </xf>
    <xf numFmtId="44" fontId="5" fillId="5" borderId="3" xfId="1" applyFont="1" applyFill="1" applyBorder="1" applyAlignment="1">
      <alignment horizontal="center"/>
    </xf>
    <xf numFmtId="164" fontId="5" fillId="2" borderId="3" xfId="1" applyNumberFormat="1" applyFont="1" applyFill="1" applyBorder="1" applyAlignment="1">
      <alignment vertical="center"/>
    </xf>
    <xf numFmtId="0" fontId="5" fillId="2" borderId="7" xfId="0" applyFont="1" applyFill="1" applyBorder="1"/>
    <xf numFmtId="0" fontId="5" fillId="2" borderId="9" xfId="0" applyFont="1" applyFill="1" applyBorder="1"/>
    <xf numFmtId="0" fontId="5" fillId="4" borderId="8" xfId="0" applyFont="1" applyFill="1" applyBorder="1"/>
    <xf numFmtId="164" fontId="5" fillId="4" borderId="8" xfId="0" applyNumberFormat="1" applyFont="1" applyFill="1" applyBorder="1"/>
    <xf numFmtId="164" fontId="5" fillId="4" borderId="8" xfId="1" applyNumberFormat="1" applyFont="1" applyFill="1" applyBorder="1"/>
    <xf numFmtId="164" fontId="7" fillId="4" borderId="8" xfId="0" applyNumberFormat="1" applyFont="1" applyFill="1" applyBorder="1"/>
    <xf numFmtId="164" fontId="5" fillId="2" borderId="0" xfId="0" applyNumberFormat="1" applyFont="1" applyFill="1"/>
    <xf numFmtId="44" fontId="5" fillId="2" borderId="0" xfId="0" applyNumberFormat="1" applyFont="1" applyFill="1"/>
    <xf numFmtId="166" fontId="5" fillId="2" borderId="3" xfId="0" applyNumberFormat="1" applyFont="1" applyFill="1" applyBorder="1" applyAlignment="1">
      <alignment horizontal="center"/>
    </xf>
    <xf numFmtId="0" fontId="5" fillId="3" borderId="0" xfId="0" quotePrefix="1" applyFont="1" applyFill="1"/>
    <xf numFmtId="0" fontId="5" fillId="2" borderId="19" xfId="0" applyFont="1" applyFill="1" applyBorder="1"/>
    <xf numFmtId="0" fontId="5" fillId="2" borderId="20" xfId="0" applyFont="1" applyFill="1" applyBorder="1"/>
    <xf numFmtId="0" fontId="5" fillId="2" borderId="22" xfId="0" applyFont="1" applyFill="1" applyBorder="1"/>
    <xf numFmtId="0" fontId="5" fillId="2" borderId="16" xfId="0" applyFont="1" applyFill="1" applyBorder="1"/>
    <xf numFmtId="0" fontId="5" fillId="2" borderId="17" xfId="0" applyFont="1" applyFill="1" applyBorder="1"/>
    <xf numFmtId="166" fontId="5" fillId="5" borderId="3" xfId="0" applyNumberFormat="1" applyFont="1" applyFill="1" applyBorder="1" applyAlignment="1">
      <alignment horizontal="center"/>
    </xf>
    <xf numFmtId="166" fontId="5" fillId="5" borderId="3" xfId="0" quotePrefix="1" applyNumberFormat="1" applyFont="1" applyFill="1" applyBorder="1" applyAlignment="1">
      <alignment horizontal="center"/>
    </xf>
    <xf numFmtId="166" fontId="5" fillId="2" borderId="19" xfId="0" applyNumberFormat="1" applyFont="1" applyFill="1" applyBorder="1"/>
    <xf numFmtId="0" fontId="4" fillId="2" borderId="23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165" fontId="5" fillId="2" borderId="0" xfId="0" applyNumberFormat="1" applyFont="1" applyFill="1"/>
    <xf numFmtId="166" fontId="5" fillId="2" borderId="0" xfId="0" applyNumberFormat="1" applyFont="1" applyFill="1"/>
    <xf numFmtId="166" fontId="5" fillId="2" borderId="20" xfId="0" applyNumberFormat="1" applyFont="1" applyFill="1" applyBorder="1"/>
    <xf numFmtId="166" fontId="4" fillId="2" borderId="23" xfId="0" applyNumberFormat="1" applyFont="1" applyFill="1" applyBorder="1" applyAlignment="1">
      <alignment horizontal="center"/>
    </xf>
    <xf numFmtId="166" fontId="4" fillId="2" borderId="24" xfId="0" applyNumberFormat="1" applyFont="1" applyFill="1" applyBorder="1" applyAlignment="1">
      <alignment horizontal="center"/>
    </xf>
    <xf numFmtId="166" fontId="5" fillId="2" borderId="16" xfId="0" applyNumberFormat="1" applyFont="1" applyFill="1" applyBorder="1"/>
    <xf numFmtId="166" fontId="5" fillId="2" borderId="17" xfId="0" applyNumberFormat="1" applyFont="1" applyFill="1" applyBorder="1"/>
    <xf numFmtId="166" fontId="5" fillId="2" borderId="22" xfId="0" applyNumberFormat="1" applyFont="1" applyFill="1" applyBorder="1"/>
    <xf numFmtId="166" fontId="5" fillId="2" borderId="21" xfId="0" applyNumberFormat="1" applyFont="1" applyFill="1" applyBorder="1"/>
    <xf numFmtId="166" fontId="7" fillId="2" borderId="0" xfId="0" applyNumberFormat="1" applyFont="1" applyFill="1"/>
    <xf numFmtId="0" fontId="7" fillId="2" borderId="0" xfId="0" applyFont="1" applyFill="1"/>
    <xf numFmtId="166" fontId="9" fillId="2" borderId="0" xfId="0" applyNumberFormat="1" applyFont="1" applyFill="1"/>
    <xf numFmtId="0" fontId="9" fillId="2" borderId="0" xfId="0" applyFont="1" applyFill="1"/>
    <xf numFmtId="166" fontId="9" fillId="2" borderId="0" xfId="0" applyNumberFormat="1" applyFont="1" applyFill="1" applyAlignment="1">
      <alignment horizontal="left"/>
    </xf>
    <xf numFmtId="166" fontId="5" fillId="2" borderId="25" xfId="0" applyNumberFormat="1" applyFont="1" applyFill="1" applyBorder="1"/>
    <xf numFmtId="166" fontId="10" fillId="2" borderId="0" xfId="0" applyNumberFormat="1" applyFont="1" applyFill="1"/>
    <xf numFmtId="0" fontId="10" fillId="2" borderId="0" xfId="0" applyFont="1" applyFill="1"/>
    <xf numFmtId="0" fontId="5" fillId="4" borderId="13" xfId="0" applyFont="1" applyFill="1" applyBorder="1"/>
    <xf numFmtId="0" fontId="5" fillId="4" borderId="26" xfId="0" applyFont="1" applyFill="1" applyBorder="1"/>
    <xf numFmtId="0" fontId="5" fillId="4" borderId="11" xfId="0" applyFont="1" applyFill="1" applyBorder="1"/>
    <xf numFmtId="0" fontId="5" fillId="4" borderId="14" xfId="0" applyFont="1" applyFill="1" applyBorder="1"/>
    <xf numFmtId="0" fontId="5" fillId="4" borderId="0" xfId="0" applyFont="1" applyFill="1"/>
    <xf numFmtId="0" fontId="5" fillId="4" borderId="12" xfId="0" applyFont="1" applyFill="1" applyBorder="1"/>
    <xf numFmtId="0" fontId="5" fillId="4" borderId="27" xfId="0" applyFont="1" applyFill="1" applyBorder="1"/>
    <xf numFmtId="0" fontId="5" fillId="4" borderId="10" xfId="0" applyFont="1" applyFill="1" applyBorder="1"/>
    <xf numFmtId="0" fontId="5" fillId="4" borderId="28" xfId="0" applyFont="1" applyFill="1" applyBorder="1"/>
    <xf numFmtId="0" fontId="2" fillId="3" borderId="0" xfId="0" applyFont="1" applyFill="1" applyAlignment="1">
      <alignment horizontal="center" vertical="center" wrapText="1"/>
    </xf>
    <xf numFmtId="0" fontId="5" fillId="2" borderId="4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44" fontId="6" fillId="2" borderId="4" xfId="1" applyFont="1" applyFill="1" applyBorder="1" applyAlignment="1">
      <alignment horizontal="center"/>
    </xf>
    <xf numFmtId="44" fontId="6" fillId="2" borderId="5" xfId="1" applyFont="1" applyFill="1" applyBorder="1" applyAlignment="1">
      <alignment horizontal="center"/>
    </xf>
    <xf numFmtId="44" fontId="6" fillId="2" borderId="6" xfId="1" applyFont="1" applyFill="1" applyBorder="1" applyAlignment="1">
      <alignment horizontal="center"/>
    </xf>
    <xf numFmtId="0" fontId="5" fillId="2" borderId="5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 wrapText="1"/>
    </xf>
    <xf numFmtId="0" fontId="5" fillId="2" borderId="5" xfId="0" applyFont="1" applyFill="1" applyBorder="1" applyAlignment="1">
      <alignment horizontal="left" wrapText="1"/>
    </xf>
    <xf numFmtId="0" fontId="5" fillId="2" borderId="6" xfId="0" applyFont="1" applyFill="1" applyBorder="1" applyAlignment="1">
      <alignment horizontal="left" wrapText="1"/>
    </xf>
    <xf numFmtId="44" fontId="5" fillId="2" borderId="4" xfId="1" applyFont="1" applyFill="1" applyBorder="1" applyAlignment="1">
      <alignment horizontal="left"/>
    </xf>
    <xf numFmtId="44" fontId="5" fillId="2" borderId="6" xfId="1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center"/>
    </xf>
    <xf numFmtId="0" fontId="5" fillId="2" borderId="15" xfId="0" applyFont="1" applyFill="1" applyBorder="1" applyAlignment="1">
      <alignment wrapText="1"/>
    </xf>
    <xf numFmtId="0" fontId="5" fillId="2" borderId="17" xfId="0" applyFont="1" applyFill="1" applyBorder="1" applyAlignment="1">
      <alignment wrapText="1"/>
    </xf>
    <xf numFmtId="166" fontId="5" fillId="2" borderId="3" xfId="0" applyNumberFormat="1" applyFont="1" applyFill="1" applyBorder="1" applyAlignment="1">
      <alignment horizontal="center" vertical="center"/>
    </xf>
    <xf numFmtId="166" fontId="5" fillId="5" borderId="3" xfId="0" quotePrefix="1" applyNumberFormat="1" applyFont="1" applyFill="1" applyBorder="1" applyAlignment="1">
      <alignment horizontal="center" vertical="center"/>
    </xf>
    <xf numFmtId="166" fontId="5" fillId="5" borderId="3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/>
    </xf>
    <xf numFmtId="166" fontId="5" fillId="2" borderId="18" xfId="0" applyNumberFormat="1" applyFont="1" applyFill="1" applyBorder="1" applyAlignment="1">
      <alignment horizontal="center"/>
    </xf>
    <xf numFmtId="166" fontId="5" fillId="2" borderId="0" xfId="0" applyNumberFormat="1" applyFont="1" applyFill="1" applyAlignment="1">
      <alignment horizontal="center"/>
    </xf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0E9E-942B-48BC-A499-E3E0DCC6AD8E}">
  <dimension ref="A1:B10"/>
  <sheetViews>
    <sheetView zoomScale="120" zoomScaleNormal="120" workbookViewId="0">
      <selection sqref="A1:B1"/>
    </sheetView>
  </sheetViews>
  <sheetFormatPr defaultRowHeight="14.4" x14ac:dyDescent="0.3"/>
  <cols>
    <col min="1" max="1" width="22.44140625" style="1" customWidth="1"/>
    <col min="2" max="2" width="41.88671875" style="1" customWidth="1"/>
    <col min="3" max="16384" width="8.88671875" style="1"/>
  </cols>
  <sheetData>
    <row r="1" spans="1:2" ht="30.6" customHeight="1" x14ac:dyDescent="0.3">
      <c r="A1" s="70" t="s">
        <v>4</v>
      </c>
      <c r="B1" s="70"/>
    </row>
    <row r="2" spans="1:2" x14ac:dyDescent="0.3">
      <c r="A2" s="5"/>
      <c r="B2" s="5"/>
    </row>
    <row r="3" spans="1:2" ht="15" thickBot="1" x14ac:dyDescent="0.35">
      <c r="A3" s="5"/>
      <c r="B3" s="5"/>
    </row>
    <row r="4" spans="1:2" ht="15" thickBot="1" x14ac:dyDescent="0.35">
      <c r="A4" s="2" t="s">
        <v>0</v>
      </c>
      <c r="B4" s="3"/>
    </row>
    <row r="5" spans="1:2" ht="15" thickBot="1" x14ac:dyDescent="0.35">
      <c r="A5" s="6"/>
      <c r="B5" s="5"/>
    </row>
    <row r="6" spans="1:2" ht="15" thickBot="1" x14ac:dyDescent="0.35">
      <c r="A6" s="2" t="s">
        <v>1</v>
      </c>
      <c r="B6" s="3"/>
    </row>
    <row r="7" spans="1:2" ht="15" thickBot="1" x14ac:dyDescent="0.35">
      <c r="A7" s="6"/>
      <c r="B7" s="5"/>
    </row>
    <row r="8" spans="1:2" ht="15" thickBot="1" x14ac:dyDescent="0.35">
      <c r="A8" s="2" t="s">
        <v>2</v>
      </c>
      <c r="B8" s="4"/>
    </row>
    <row r="9" spans="1:2" ht="15" thickBot="1" x14ac:dyDescent="0.35">
      <c r="A9" s="6"/>
      <c r="B9" s="5"/>
    </row>
    <row r="10" spans="1:2" ht="15" thickBot="1" x14ac:dyDescent="0.35">
      <c r="A10" s="2" t="s">
        <v>3</v>
      </c>
      <c r="B10" s="4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433A5-0685-4D0F-82CE-CA515E7DF848}">
  <dimension ref="A1:H63"/>
  <sheetViews>
    <sheetView workbookViewId="0">
      <selection activeCell="A11" sqref="A11"/>
    </sheetView>
  </sheetViews>
  <sheetFormatPr defaultRowHeight="15" x14ac:dyDescent="0.25"/>
  <cols>
    <col min="1" max="1" width="29.33203125" style="8" customWidth="1"/>
    <col min="2" max="2" width="6.33203125" style="8" customWidth="1"/>
    <col min="3" max="3" width="8.88671875" style="8" hidden="1" customWidth="1"/>
    <col min="4" max="4" width="19.88671875" style="8" bestFit="1" customWidth="1"/>
    <col min="5" max="5" width="21.88671875" style="8" bestFit="1" customWidth="1"/>
    <col min="6" max="6" width="19" style="8" bestFit="1" customWidth="1"/>
    <col min="7" max="16384" width="8.88671875" style="8"/>
  </cols>
  <sheetData>
    <row r="1" spans="1:8" ht="15.6" x14ac:dyDescent="0.3">
      <c r="A1" s="9" t="s">
        <v>5</v>
      </c>
      <c r="B1" s="10"/>
      <c r="C1" s="10"/>
      <c r="D1" s="10"/>
      <c r="E1" s="10"/>
      <c r="F1" s="10"/>
      <c r="G1" s="10"/>
      <c r="H1" s="10"/>
    </row>
    <row r="3" spans="1:8" x14ac:dyDescent="0.25">
      <c r="A3" s="10" t="s">
        <v>6</v>
      </c>
      <c r="B3" s="10"/>
      <c r="C3" s="10"/>
      <c r="D3" s="10"/>
      <c r="E3" s="10"/>
      <c r="F3" s="10"/>
      <c r="G3" s="10"/>
      <c r="H3" s="10"/>
    </row>
    <row r="5" spans="1:8" ht="15.6" x14ac:dyDescent="0.3">
      <c r="A5" s="73" t="s">
        <v>13</v>
      </c>
      <c r="B5" s="74"/>
      <c r="C5" s="75"/>
      <c r="D5" s="11" t="s">
        <v>10</v>
      </c>
      <c r="E5" s="11" t="s">
        <v>12</v>
      </c>
      <c r="F5" s="11" t="s">
        <v>11</v>
      </c>
    </row>
    <row r="6" spans="1:8" x14ac:dyDescent="0.25">
      <c r="A6" s="18" t="s">
        <v>7</v>
      </c>
      <c r="B6" s="19"/>
      <c r="C6" s="17"/>
      <c r="D6" s="12">
        <v>5</v>
      </c>
      <c r="E6" s="22"/>
      <c r="F6" s="12">
        <v>100</v>
      </c>
    </row>
    <row r="7" spans="1:8" x14ac:dyDescent="0.25">
      <c r="A7" s="81" t="s">
        <v>8</v>
      </c>
      <c r="B7" s="82"/>
      <c r="C7" s="13"/>
      <c r="D7" s="12">
        <v>20</v>
      </c>
      <c r="E7" s="22"/>
      <c r="F7" s="12">
        <v>80</v>
      </c>
    </row>
    <row r="8" spans="1:8" x14ac:dyDescent="0.25">
      <c r="A8" s="81" t="s">
        <v>9</v>
      </c>
      <c r="B8" s="82"/>
      <c r="C8" s="13"/>
      <c r="D8" s="12">
        <v>0.8</v>
      </c>
      <c r="E8" s="22"/>
      <c r="F8" s="22"/>
    </row>
    <row r="10" spans="1:8" x14ac:dyDescent="0.25">
      <c r="A10" s="10" t="s">
        <v>49</v>
      </c>
      <c r="B10" s="10"/>
      <c r="C10" s="10"/>
      <c r="D10" s="10"/>
      <c r="E10" s="10"/>
      <c r="F10" s="10"/>
      <c r="G10" s="10"/>
      <c r="H10" s="10"/>
    </row>
    <row r="11" spans="1:8" x14ac:dyDescent="0.25">
      <c r="A11" s="10" t="s">
        <v>14</v>
      </c>
      <c r="B11" s="10"/>
      <c r="C11" s="10"/>
      <c r="D11" s="10"/>
      <c r="E11" s="10"/>
      <c r="F11" s="10"/>
      <c r="G11" s="10"/>
      <c r="H11" s="10"/>
    </row>
    <row r="13" spans="1:8" ht="30" customHeight="1" x14ac:dyDescent="0.25">
      <c r="A13" s="78" t="s">
        <v>50</v>
      </c>
      <c r="B13" s="79"/>
      <c r="C13" s="80"/>
      <c r="D13" s="23">
        <v>165000</v>
      </c>
    </row>
    <row r="14" spans="1:8" x14ac:dyDescent="0.25">
      <c r="A14" s="71" t="s">
        <v>29</v>
      </c>
      <c r="B14" s="76"/>
      <c r="C14" s="72"/>
      <c r="D14" s="20">
        <v>1680500</v>
      </c>
    </row>
    <row r="15" spans="1:8" x14ac:dyDescent="0.25">
      <c r="A15" s="77" t="s">
        <v>51</v>
      </c>
      <c r="B15" s="77"/>
      <c r="C15" s="77"/>
      <c r="D15" s="14">
        <v>15600</v>
      </c>
    </row>
    <row r="16" spans="1:8" x14ac:dyDescent="0.25">
      <c r="A16" s="71" t="s">
        <v>52</v>
      </c>
      <c r="B16" s="72"/>
      <c r="C16" s="16"/>
      <c r="D16" s="14">
        <v>16500</v>
      </c>
    </row>
    <row r="18" spans="1:8" x14ac:dyDescent="0.25">
      <c r="A18" s="10" t="s">
        <v>15</v>
      </c>
      <c r="B18" s="10"/>
      <c r="C18" s="10"/>
      <c r="D18" s="10"/>
      <c r="E18" s="10"/>
      <c r="F18" s="10"/>
      <c r="G18" s="10"/>
      <c r="H18" s="10"/>
    </row>
    <row r="20" spans="1:8" ht="15.6" x14ac:dyDescent="0.3">
      <c r="A20" s="83" t="s">
        <v>16</v>
      </c>
      <c r="B20" s="84"/>
      <c r="C20" s="14"/>
      <c r="D20" s="21" t="s">
        <v>20</v>
      </c>
    </row>
    <row r="21" spans="1:8" x14ac:dyDescent="0.25">
      <c r="A21" s="71" t="s">
        <v>17</v>
      </c>
      <c r="B21" s="72"/>
      <c r="C21" s="14"/>
      <c r="D21" s="20">
        <v>1630600</v>
      </c>
    </row>
    <row r="22" spans="1:8" x14ac:dyDescent="0.25">
      <c r="A22" s="14" t="s">
        <v>18</v>
      </c>
      <c r="B22" s="14"/>
      <c r="C22" s="14"/>
      <c r="D22" s="20">
        <v>1454086</v>
      </c>
    </row>
    <row r="23" spans="1:8" x14ac:dyDescent="0.25">
      <c r="A23" s="14" t="s">
        <v>19</v>
      </c>
      <c r="B23" s="14"/>
      <c r="C23" s="14"/>
      <c r="D23" s="20">
        <v>1356400</v>
      </c>
    </row>
    <row r="25" spans="1:8" ht="15.6" customHeight="1" x14ac:dyDescent="0.3">
      <c r="A25" s="83" t="s">
        <v>21</v>
      </c>
      <c r="B25" s="84"/>
      <c r="C25" s="14"/>
      <c r="D25" s="21" t="s">
        <v>24</v>
      </c>
    </row>
    <row r="26" spans="1:8" ht="15" customHeight="1" x14ac:dyDescent="0.25">
      <c r="A26" s="71" t="s">
        <v>22</v>
      </c>
      <c r="B26" s="72"/>
      <c r="C26" s="14"/>
      <c r="D26" s="15">
        <v>360800</v>
      </c>
    </row>
    <row r="27" spans="1:8" ht="15" customHeight="1" x14ac:dyDescent="0.25">
      <c r="A27" s="71" t="s">
        <v>23</v>
      </c>
      <c r="B27" s="72"/>
      <c r="C27" s="14"/>
      <c r="D27" s="15">
        <v>58050</v>
      </c>
    </row>
    <row r="29" spans="1:8" x14ac:dyDescent="0.25">
      <c r="A29" s="10" t="s">
        <v>25</v>
      </c>
      <c r="B29" s="10"/>
      <c r="C29" s="10"/>
      <c r="D29" s="10"/>
      <c r="E29" s="10"/>
      <c r="F29" s="10"/>
      <c r="G29" s="10"/>
      <c r="H29" s="10"/>
    </row>
    <row r="30" spans="1:8" x14ac:dyDescent="0.25">
      <c r="A30" s="10" t="s">
        <v>48</v>
      </c>
      <c r="B30" s="10"/>
      <c r="C30" s="10"/>
      <c r="D30" s="10"/>
      <c r="E30" s="10"/>
      <c r="F30" s="10"/>
      <c r="G30" s="10"/>
      <c r="H30" s="10"/>
    </row>
    <row r="31" spans="1:8" x14ac:dyDescent="0.25">
      <c r="A31" s="10" t="s">
        <v>26</v>
      </c>
      <c r="B31" s="10"/>
      <c r="C31" s="10"/>
      <c r="D31" s="10"/>
      <c r="E31" s="10"/>
      <c r="F31" s="10"/>
      <c r="G31" s="10"/>
      <c r="H31" s="10"/>
    </row>
    <row r="32" spans="1:8" x14ac:dyDescent="0.25">
      <c r="A32" s="10" t="s">
        <v>27</v>
      </c>
      <c r="B32" s="10"/>
      <c r="C32" s="10"/>
      <c r="D32" s="10"/>
      <c r="E32" s="10"/>
      <c r="F32" s="10"/>
      <c r="G32" s="10"/>
      <c r="H32" s="10"/>
    </row>
    <row r="33" spans="1:8" x14ac:dyDescent="0.25">
      <c r="A33" s="10" t="s">
        <v>28</v>
      </c>
      <c r="B33" s="10"/>
      <c r="C33" s="10"/>
      <c r="D33" s="10"/>
      <c r="E33" s="10"/>
      <c r="F33" s="10"/>
      <c r="G33" s="10"/>
      <c r="H33" s="10"/>
    </row>
    <row r="35" spans="1:8" ht="15.6" x14ac:dyDescent="0.3">
      <c r="A35" s="7" t="s">
        <v>32</v>
      </c>
    </row>
    <row r="37" spans="1:8" x14ac:dyDescent="0.25">
      <c r="A37" s="24" t="s">
        <v>7</v>
      </c>
      <c r="D37" s="26"/>
    </row>
    <row r="38" spans="1:8" x14ac:dyDescent="0.25">
      <c r="A38" s="8" t="s">
        <v>8</v>
      </c>
      <c r="D38" s="26"/>
    </row>
    <row r="39" spans="1:8" x14ac:dyDescent="0.25">
      <c r="A39" s="8" t="s">
        <v>9</v>
      </c>
      <c r="D39" s="26"/>
    </row>
    <row r="40" spans="1:8" x14ac:dyDescent="0.25">
      <c r="A40" s="8" t="s">
        <v>30</v>
      </c>
      <c r="D40" s="26"/>
      <c r="E40" s="25"/>
    </row>
    <row r="41" spans="1:8" x14ac:dyDescent="0.25">
      <c r="A41" s="8" t="s">
        <v>31</v>
      </c>
      <c r="D41" s="26"/>
    </row>
    <row r="44" spans="1:8" ht="15.6" x14ac:dyDescent="0.3">
      <c r="A44" s="7" t="s">
        <v>46</v>
      </c>
    </row>
    <row r="45" spans="1:8" ht="15.6" x14ac:dyDescent="0.3">
      <c r="D45" s="7" t="s">
        <v>34</v>
      </c>
      <c r="E45" s="7" t="s">
        <v>35</v>
      </c>
    </row>
    <row r="46" spans="1:8" x14ac:dyDescent="0.25">
      <c r="A46" s="8" t="s">
        <v>47</v>
      </c>
      <c r="D46" s="26"/>
      <c r="E46" s="26"/>
    </row>
    <row r="49" spans="1:5" ht="15.6" x14ac:dyDescent="0.3">
      <c r="A49" s="7" t="s">
        <v>36</v>
      </c>
    </row>
    <row r="50" spans="1:5" ht="15.6" x14ac:dyDescent="0.3">
      <c r="D50" s="7" t="s">
        <v>34</v>
      </c>
      <c r="E50" s="7" t="s">
        <v>35</v>
      </c>
    </row>
    <row r="51" spans="1:5" x14ac:dyDescent="0.25">
      <c r="A51" s="8" t="s">
        <v>37</v>
      </c>
      <c r="D51" s="26"/>
      <c r="E51" s="26"/>
    </row>
    <row r="52" spans="1:5" x14ac:dyDescent="0.25">
      <c r="A52" s="8" t="s">
        <v>39</v>
      </c>
      <c r="D52" s="26"/>
      <c r="E52" s="26"/>
    </row>
    <row r="54" spans="1:5" ht="15.6" x14ac:dyDescent="0.3">
      <c r="A54" s="7" t="s">
        <v>41</v>
      </c>
    </row>
    <row r="55" spans="1:5" ht="15.6" x14ac:dyDescent="0.3">
      <c r="D55" s="7" t="s">
        <v>34</v>
      </c>
      <c r="E55" s="7" t="s">
        <v>35</v>
      </c>
    </row>
    <row r="56" spans="1:5" x14ac:dyDescent="0.25">
      <c r="A56" s="8" t="s">
        <v>43</v>
      </c>
      <c r="D56" s="26"/>
      <c r="E56" s="26"/>
    </row>
    <row r="57" spans="1:5" x14ac:dyDescent="0.25">
      <c r="A57" s="8" t="s">
        <v>33</v>
      </c>
      <c r="D57" s="26"/>
      <c r="E57" s="26"/>
    </row>
    <row r="59" spans="1:5" ht="15.6" x14ac:dyDescent="0.3">
      <c r="A59" s="7" t="s">
        <v>42</v>
      </c>
    </row>
    <row r="60" spans="1:5" ht="15.6" x14ac:dyDescent="0.3">
      <c r="D60" s="7" t="s">
        <v>34</v>
      </c>
      <c r="E60" s="7" t="s">
        <v>35</v>
      </c>
    </row>
    <row r="61" spans="1:5" x14ac:dyDescent="0.25">
      <c r="A61" s="8" t="s">
        <v>43</v>
      </c>
      <c r="D61" s="26"/>
      <c r="E61" s="26"/>
    </row>
    <row r="62" spans="1:5" x14ac:dyDescent="0.25">
      <c r="A62" s="8" t="s">
        <v>44</v>
      </c>
      <c r="D62" s="26"/>
      <c r="E62" s="26"/>
    </row>
    <row r="63" spans="1:5" x14ac:dyDescent="0.25">
      <c r="A63" s="8" t="s">
        <v>45</v>
      </c>
      <c r="D63" s="26"/>
      <c r="E63" s="26"/>
    </row>
  </sheetData>
  <mergeCells count="12">
    <mergeCell ref="A27:B27"/>
    <mergeCell ref="A5:C5"/>
    <mergeCell ref="A14:C14"/>
    <mergeCell ref="A15:C15"/>
    <mergeCell ref="A13:C13"/>
    <mergeCell ref="A7:B7"/>
    <mergeCell ref="A8:B8"/>
    <mergeCell ref="A20:B20"/>
    <mergeCell ref="A21:B21"/>
    <mergeCell ref="A16:B16"/>
    <mergeCell ref="A25:B25"/>
    <mergeCell ref="A26:B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4863-26AF-429B-829C-C07FE0175443}">
  <dimension ref="A1:H67"/>
  <sheetViews>
    <sheetView workbookViewId="0">
      <selection activeCell="E15" sqref="E15"/>
    </sheetView>
  </sheetViews>
  <sheetFormatPr defaultRowHeight="15" x14ac:dyDescent="0.25"/>
  <cols>
    <col min="1" max="1" width="29.33203125" style="8" customWidth="1"/>
    <col min="2" max="2" width="6.33203125" style="8" customWidth="1"/>
    <col min="3" max="3" width="8.88671875" style="8" hidden="1" customWidth="1"/>
    <col min="4" max="4" width="19.88671875" style="8" bestFit="1" customWidth="1"/>
    <col min="5" max="5" width="21.88671875" style="8" bestFit="1" customWidth="1"/>
    <col min="6" max="6" width="19" style="8" bestFit="1" customWidth="1"/>
    <col min="7" max="7" width="8.88671875" style="8"/>
    <col min="8" max="8" width="11.21875" style="8" bestFit="1" customWidth="1"/>
    <col min="9" max="16384" width="8.88671875" style="8"/>
  </cols>
  <sheetData>
    <row r="1" spans="1:8" ht="15.6" x14ac:dyDescent="0.3">
      <c r="A1" s="9" t="s">
        <v>5</v>
      </c>
      <c r="B1" s="10"/>
      <c r="C1" s="10"/>
      <c r="D1" s="10"/>
      <c r="E1" s="10"/>
      <c r="F1" s="10"/>
      <c r="G1" s="10"/>
      <c r="H1" s="10"/>
    </row>
    <row r="3" spans="1:8" x14ac:dyDescent="0.25">
      <c r="A3" s="10" t="s">
        <v>6</v>
      </c>
      <c r="B3" s="10"/>
      <c r="C3" s="10"/>
      <c r="D3" s="10"/>
      <c r="E3" s="10"/>
      <c r="F3" s="10"/>
      <c r="G3" s="10"/>
      <c r="H3" s="10"/>
    </row>
    <row r="5" spans="1:8" ht="15.6" x14ac:dyDescent="0.3">
      <c r="A5" s="73" t="s">
        <v>13</v>
      </c>
      <c r="B5" s="74"/>
      <c r="C5" s="75"/>
      <c r="D5" s="11" t="s">
        <v>10</v>
      </c>
      <c r="E5" s="11" t="s">
        <v>12</v>
      </c>
      <c r="F5" s="11" t="s">
        <v>11</v>
      </c>
    </row>
    <row r="6" spans="1:8" x14ac:dyDescent="0.25">
      <c r="A6" s="18" t="s">
        <v>7</v>
      </c>
      <c r="B6" s="19"/>
      <c r="C6" s="17"/>
      <c r="D6" s="12">
        <v>5</v>
      </c>
      <c r="E6" s="22"/>
      <c r="F6" s="12">
        <v>100</v>
      </c>
    </row>
    <row r="7" spans="1:8" x14ac:dyDescent="0.25">
      <c r="A7" s="81" t="s">
        <v>8</v>
      </c>
      <c r="B7" s="82"/>
      <c r="C7" s="13"/>
      <c r="D7" s="12">
        <v>20</v>
      </c>
      <c r="E7" s="22"/>
      <c r="F7" s="12">
        <v>80</v>
      </c>
    </row>
    <row r="8" spans="1:8" x14ac:dyDescent="0.25">
      <c r="A8" s="81" t="s">
        <v>9</v>
      </c>
      <c r="B8" s="82"/>
      <c r="C8" s="13"/>
      <c r="D8" s="12">
        <v>0.8</v>
      </c>
      <c r="E8" s="22"/>
      <c r="F8" s="22"/>
    </row>
    <row r="10" spans="1:8" x14ac:dyDescent="0.25">
      <c r="A10" s="10" t="s">
        <v>49</v>
      </c>
      <c r="B10" s="10"/>
      <c r="C10" s="10"/>
      <c r="D10" s="10"/>
      <c r="E10" s="10"/>
      <c r="F10" s="10"/>
      <c r="G10" s="10"/>
      <c r="H10" s="10"/>
    </row>
    <row r="11" spans="1:8" x14ac:dyDescent="0.25">
      <c r="A11" s="10" t="s">
        <v>14</v>
      </c>
      <c r="B11" s="10"/>
      <c r="C11" s="10"/>
      <c r="D11" s="10"/>
      <c r="E11" s="10"/>
      <c r="F11" s="10"/>
      <c r="G11" s="10"/>
      <c r="H11" s="10"/>
    </row>
    <row r="13" spans="1:8" ht="30" customHeight="1" x14ac:dyDescent="0.25">
      <c r="A13" s="78" t="s">
        <v>50</v>
      </c>
      <c r="B13" s="79"/>
      <c r="C13" s="80"/>
      <c r="D13" s="23">
        <v>165000</v>
      </c>
    </row>
    <row r="14" spans="1:8" x14ac:dyDescent="0.25">
      <c r="A14" s="71" t="s">
        <v>29</v>
      </c>
      <c r="B14" s="76"/>
      <c r="C14" s="72"/>
      <c r="D14" s="20">
        <v>1680500</v>
      </c>
    </row>
    <row r="15" spans="1:8" x14ac:dyDescent="0.25">
      <c r="A15" s="77" t="s">
        <v>51</v>
      </c>
      <c r="B15" s="77"/>
      <c r="C15" s="77"/>
      <c r="D15" s="14">
        <v>15600</v>
      </c>
    </row>
    <row r="16" spans="1:8" x14ac:dyDescent="0.25">
      <c r="A16" s="71" t="s">
        <v>52</v>
      </c>
      <c r="B16" s="72"/>
      <c r="C16" s="16"/>
      <c r="D16" s="14">
        <v>16500</v>
      </c>
    </row>
    <row r="18" spans="1:8" x14ac:dyDescent="0.25">
      <c r="A18" s="10" t="s">
        <v>15</v>
      </c>
      <c r="B18" s="10"/>
      <c r="C18" s="10"/>
      <c r="D18" s="10"/>
      <c r="E18" s="10"/>
      <c r="F18" s="10"/>
      <c r="G18" s="10"/>
      <c r="H18" s="10"/>
    </row>
    <row r="20" spans="1:8" ht="15.6" x14ac:dyDescent="0.3">
      <c r="A20" s="83" t="s">
        <v>16</v>
      </c>
      <c r="B20" s="84"/>
      <c r="C20" s="14"/>
      <c r="D20" s="21" t="s">
        <v>20</v>
      </c>
    </row>
    <row r="21" spans="1:8" x14ac:dyDescent="0.25">
      <c r="A21" s="71" t="s">
        <v>17</v>
      </c>
      <c r="B21" s="72"/>
      <c r="C21" s="14"/>
      <c r="D21" s="20">
        <v>1630600</v>
      </c>
    </row>
    <row r="22" spans="1:8" x14ac:dyDescent="0.25">
      <c r="A22" s="14" t="s">
        <v>18</v>
      </c>
      <c r="B22" s="14"/>
      <c r="C22" s="14"/>
      <c r="D22" s="20">
        <v>1454086</v>
      </c>
    </row>
    <row r="23" spans="1:8" x14ac:dyDescent="0.25">
      <c r="A23" s="14" t="s">
        <v>19</v>
      </c>
      <c r="B23" s="14"/>
      <c r="C23" s="14"/>
      <c r="D23" s="20">
        <v>1356400</v>
      </c>
    </row>
    <row r="25" spans="1:8" ht="15.6" customHeight="1" x14ac:dyDescent="0.3">
      <c r="A25" s="83" t="s">
        <v>21</v>
      </c>
      <c r="B25" s="84"/>
      <c r="C25" s="14"/>
      <c r="D25" s="21" t="s">
        <v>24</v>
      </c>
    </row>
    <row r="26" spans="1:8" ht="15" customHeight="1" x14ac:dyDescent="0.25">
      <c r="A26" s="71" t="s">
        <v>22</v>
      </c>
      <c r="B26" s="72"/>
      <c r="C26" s="14"/>
      <c r="D26" s="15">
        <v>360800</v>
      </c>
    </row>
    <row r="27" spans="1:8" ht="15" customHeight="1" x14ac:dyDescent="0.25">
      <c r="A27" s="71" t="s">
        <v>23</v>
      </c>
      <c r="B27" s="72"/>
      <c r="C27" s="14"/>
      <c r="D27" s="15">
        <v>58050</v>
      </c>
    </row>
    <row r="29" spans="1:8" x14ac:dyDescent="0.25">
      <c r="A29" s="10" t="s">
        <v>25</v>
      </c>
      <c r="B29" s="10"/>
      <c r="C29" s="10"/>
      <c r="D29" s="10"/>
      <c r="E29" s="10"/>
      <c r="F29" s="10"/>
      <c r="G29" s="10"/>
      <c r="H29" s="10"/>
    </row>
    <row r="30" spans="1:8" x14ac:dyDescent="0.25">
      <c r="A30" s="10" t="s">
        <v>48</v>
      </c>
      <c r="B30" s="10"/>
      <c r="C30" s="10"/>
      <c r="D30" s="10"/>
      <c r="E30" s="10"/>
      <c r="F30" s="10"/>
      <c r="G30" s="10"/>
      <c r="H30" s="10"/>
    </row>
    <row r="31" spans="1:8" x14ac:dyDescent="0.25">
      <c r="A31" s="10" t="s">
        <v>26</v>
      </c>
      <c r="B31" s="10"/>
      <c r="C31" s="10"/>
      <c r="D31" s="10"/>
      <c r="E31" s="10"/>
      <c r="F31" s="10"/>
      <c r="G31" s="10"/>
      <c r="H31" s="10"/>
    </row>
    <row r="32" spans="1:8" x14ac:dyDescent="0.25">
      <c r="A32" s="10" t="s">
        <v>27</v>
      </c>
      <c r="B32" s="10"/>
      <c r="C32" s="10"/>
      <c r="D32" s="10"/>
      <c r="E32" s="10"/>
      <c r="F32" s="10"/>
      <c r="G32" s="10"/>
      <c r="H32" s="10"/>
    </row>
    <row r="33" spans="1:8" x14ac:dyDescent="0.25">
      <c r="A33" s="10" t="s">
        <v>28</v>
      </c>
      <c r="B33" s="10"/>
      <c r="C33" s="10"/>
      <c r="D33" s="10"/>
      <c r="E33" s="10"/>
      <c r="F33" s="10"/>
      <c r="G33" s="10"/>
      <c r="H33" s="10"/>
    </row>
    <row r="35" spans="1:8" ht="15.6" x14ac:dyDescent="0.3">
      <c r="A35" s="7" t="s">
        <v>32</v>
      </c>
    </row>
    <row r="37" spans="1:8" x14ac:dyDescent="0.25">
      <c r="A37" s="24" t="s">
        <v>7</v>
      </c>
      <c r="D37" s="27">
        <f>F6*D16</f>
        <v>1650000</v>
      </c>
    </row>
    <row r="38" spans="1:8" x14ac:dyDescent="0.25">
      <c r="A38" s="8" t="s">
        <v>8</v>
      </c>
      <c r="D38" s="27">
        <f>F7*D16</f>
        <v>1320000</v>
      </c>
    </row>
    <row r="39" spans="1:8" x14ac:dyDescent="0.25">
      <c r="A39" s="8" t="s">
        <v>9</v>
      </c>
      <c r="D39" s="28">
        <f>D8*F6*D16</f>
        <v>1320000</v>
      </c>
    </row>
    <row r="40" spans="1:8" x14ac:dyDescent="0.25">
      <c r="A40" s="8" t="s">
        <v>30</v>
      </c>
      <c r="D40" s="27">
        <f>D14+D13</f>
        <v>1845500</v>
      </c>
      <c r="E40" s="25"/>
    </row>
    <row r="41" spans="1:8" x14ac:dyDescent="0.25">
      <c r="A41" s="8" t="s">
        <v>31</v>
      </c>
      <c r="D41" s="27">
        <f>SUM(D37:D40)</f>
        <v>6135500</v>
      </c>
    </row>
    <row r="44" spans="1:8" ht="15.6" x14ac:dyDescent="0.3">
      <c r="A44" s="7" t="s">
        <v>46</v>
      </c>
    </row>
    <row r="45" spans="1:8" ht="15.6" x14ac:dyDescent="0.3">
      <c r="D45" s="7" t="s">
        <v>34</v>
      </c>
      <c r="E45" s="7" t="s">
        <v>35</v>
      </c>
    </row>
    <row r="46" spans="1:8" x14ac:dyDescent="0.25">
      <c r="A46" s="8" t="s">
        <v>47</v>
      </c>
      <c r="D46" s="29">
        <f>(F6+F7+D8*F6)*D15-SUM(D21:D23)-D14</f>
        <v>-2065586</v>
      </c>
      <c r="E46" s="26" t="s">
        <v>38</v>
      </c>
    </row>
    <row r="49" spans="1:8" ht="15.6" x14ac:dyDescent="0.3">
      <c r="A49" s="7" t="s">
        <v>36</v>
      </c>
    </row>
    <row r="50" spans="1:8" ht="15.6" x14ac:dyDescent="0.3">
      <c r="D50" s="7" t="s">
        <v>34</v>
      </c>
      <c r="E50" s="7" t="s">
        <v>35</v>
      </c>
    </row>
    <row r="51" spans="1:8" x14ac:dyDescent="0.25">
      <c r="A51" s="8" t="s">
        <v>37</v>
      </c>
      <c r="D51" s="29">
        <f>D27*(D7-D22/D27)</f>
        <v>-293086.00000000006</v>
      </c>
      <c r="E51" s="26" t="s">
        <v>38</v>
      </c>
      <c r="F51" s="31"/>
    </row>
    <row r="52" spans="1:8" x14ac:dyDescent="0.25">
      <c r="A52" s="8" t="s">
        <v>39</v>
      </c>
      <c r="D52" s="27">
        <f>D7*(F7/D7*D16-D27)</f>
        <v>159000</v>
      </c>
      <c r="E52" s="26" t="s">
        <v>40</v>
      </c>
      <c r="F52" s="30"/>
    </row>
    <row r="54" spans="1:8" ht="15.6" x14ac:dyDescent="0.3">
      <c r="A54" s="7" t="s">
        <v>41</v>
      </c>
    </row>
    <row r="55" spans="1:8" ht="15.6" x14ac:dyDescent="0.3">
      <c r="D55" s="7" t="s">
        <v>34</v>
      </c>
      <c r="E55" s="7" t="s">
        <v>35</v>
      </c>
    </row>
    <row r="56" spans="1:8" x14ac:dyDescent="0.25">
      <c r="A56" s="8" t="s">
        <v>43</v>
      </c>
      <c r="D56" s="29">
        <f>D21*D8-D23</f>
        <v>-51920</v>
      </c>
      <c r="E56" s="26" t="s">
        <v>38</v>
      </c>
      <c r="H56" s="30"/>
    </row>
    <row r="57" spans="1:8" x14ac:dyDescent="0.25">
      <c r="A57" s="8" t="s">
        <v>33</v>
      </c>
      <c r="D57" s="28">
        <f>D8*(F6*D16-D21)</f>
        <v>15520</v>
      </c>
      <c r="E57" s="26" t="s">
        <v>40</v>
      </c>
      <c r="H57" s="30"/>
    </row>
    <row r="59" spans="1:8" ht="15.6" x14ac:dyDescent="0.3">
      <c r="A59" s="7" t="s">
        <v>42</v>
      </c>
    </row>
    <row r="60" spans="1:8" ht="15.6" x14ac:dyDescent="0.3">
      <c r="D60" s="7" t="s">
        <v>34</v>
      </c>
      <c r="E60" s="7" t="s">
        <v>35</v>
      </c>
    </row>
    <row r="61" spans="1:8" x14ac:dyDescent="0.25">
      <c r="A61" s="8" t="s">
        <v>43</v>
      </c>
      <c r="D61" s="27">
        <f>D13</f>
        <v>165000</v>
      </c>
      <c r="E61" s="26" t="s">
        <v>40</v>
      </c>
    </row>
    <row r="62" spans="1:8" x14ac:dyDescent="0.25">
      <c r="A62" s="8" t="s">
        <v>44</v>
      </c>
      <c r="D62" s="27">
        <f>(D14+D13)/D15*(D16-D15)</f>
        <v>106471.15384615386</v>
      </c>
      <c r="E62" s="26" t="s">
        <v>40</v>
      </c>
    </row>
    <row r="63" spans="1:8" x14ac:dyDescent="0.25">
      <c r="A63" s="8" t="s">
        <v>45</v>
      </c>
      <c r="D63" s="27">
        <f>D61+D62</f>
        <v>271471.15384615387</v>
      </c>
      <c r="E63" s="26" t="s">
        <v>40</v>
      </c>
    </row>
    <row r="66" spans="5:5" x14ac:dyDescent="0.25">
      <c r="E66" s="30"/>
    </row>
    <row r="67" spans="5:5" x14ac:dyDescent="0.25">
      <c r="E67" s="31"/>
    </row>
  </sheetData>
  <mergeCells count="12">
    <mergeCell ref="A27:B27"/>
    <mergeCell ref="A5:C5"/>
    <mergeCell ref="A7:B7"/>
    <mergeCell ref="A8:B8"/>
    <mergeCell ref="A13:C13"/>
    <mergeCell ref="A14:C14"/>
    <mergeCell ref="A15:C15"/>
    <mergeCell ref="A16:B16"/>
    <mergeCell ref="A20:B20"/>
    <mergeCell ref="A21:B21"/>
    <mergeCell ref="A25:B25"/>
    <mergeCell ref="A26:B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0A413-46FB-4BC4-BB79-ACF9A3040CE6}">
  <dimension ref="A1:I69"/>
  <sheetViews>
    <sheetView tabSelected="1" workbookViewId="0">
      <selection activeCell="A8" sqref="A8"/>
    </sheetView>
  </sheetViews>
  <sheetFormatPr defaultRowHeight="15" x14ac:dyDescent="0.25"/>
  <cols>
    <col min="1" max="1" width="33.44140625" style="8" customWidth="1"/>
    <col min="2" max="2" width="11.109375" style="8" customWidth="1"/>
    <col min="3" max="4" width="10.77734375" style="8" customWidth="1"/>
    <col min="5" max="5" width="12" style="8" customWidth="1"/>
    <col min="6" max="6" width="12.44140625" style="8" customWidth="1"/>
    <col min="7" max="7" width="8.88671875" style="8"/>
    <col min="8" max="8" width="8.88671875" style="8" customWidth="1"/>
    <col min="9" max="9" width="12.44140625" style="8" customWidth="1"/>
    <col min="10" max="16384" width="8.88671875" style="8"/>
  </cols>
  <sheetData>
    <row r="1" spans="1:9" ht="15.6" x14ac:dyDescent="0.3">
      <c r="A1" s="9" t="s">
        <v>53</v>
      </c>
      <c r="B1" s="10"/>
      <c r="C1" s="10"/>
      <c r="D1" s="10"/>
      <c r="E1" s="10"/>
      <c r="F1" s="10"/>
      <c r="G1" s="10"/>
      <c r="H1" s="10"/>
      <c r="I1" s="10"/>
    </row>
    <row r="3" spans="1:9" x14ac:dyDescent="0.25">
      <c r="A3" s="10" t="s">
        <v>57</v>
      </c>
      <c r="B3" s="10"/>
      <c r="C3" s="10"/>
      <c r="D3" s="10"/>
      <c r="E3" s="10"/>
      <c r="F3" s="10"/>
      <c r="G3" s="10"/>
      <c r="H3" s="10"/>
      <c r="I3" s="10"/>
    </row>
    <row r="4" spans="1:9" x14ac:dyDescent="0.25">
      <c r="A4" s="10" t="s">
        <v>54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0" t="s">
        <v>55</v>
      </c>
      <c r="B5" s="10"/>
      <c r="C5" s="10"/>
      <c r="D5" s="10"/>
      <c r="E5" s="10"/>
      <c r="F5" s="10"/>
      <c r="G5" s="10"/>
      <c r="H5" s="10"/>
      <c r="I5" s="10"/>
    </row>
    <row r="6" spans="1:9" x14ac:dyDescent="0.25">
      <c r="A6" s="10" t="s">
        <v>56</v>
      </c>
      <c r="B6" s="10"/>
      <c r="C6" s="10"/>
      <c r="D6" s="10"/>
      <c r="E6" s="10"/>
      <c r="F6" s="10"/>
      <c r="G6" s="10"/>
      <c r="H6" s="10"/>
      <c r="I6" s="10"/>
    </row>
    <row r="7" spans="1:9" x14ac:dyDescent="0.25">
      <c r="A7" s="10" t="s">
        <v>86</v>
      </c>
      <c r="B7" s="10"/>
      <c r="C7" s="10"/>
      <c r="D7" s="10"/>
      <c r="E7" s="10"/>
      <c r="F7" s="10"/>
      <c r="G7" s="10"/>
      <c r="H7" s="10"/>
      <c r="I7" s="10"/>
    </row>
    <row r="9" spans="1:9" ht="15.6" x14ac:dyDescent="0.3">
      <c r="B9" s="85" t="s">
        <v>60</v>
      </c>
      <c r="C9" s="85"/>
      <c r="D9" s="85" t="s">
        <v>61</v>
      </c>
      <c r="E9" s="85"/>
    </row>
    <row r="10" spans="1:9" ht="15.6" x14ac:dyDescent="0.3">
      <c r="B10" s="21" t="s">
        <v>62</v>
      </c>
      <c r="C10" s="21" t="s">
        <v>63</v>
      </c>
      <c r="D10" s="21" t="s">
        <v>62</v>
      </c>
      <c r="E10" s="21" t="s">
        <v>63</v>
      </c>
    </row>
    <row r="11" spans="1:9" ht="15" customHeight="1" x14ac:dyDescent="0.25">
      <c r="A11" s="86" t="s">
        <v>65</v>
      </c>
      <c r="B11" s="88">
        <v>110000</v>
      </c>
      <c r="C11" s="88">
        <v>56500</v>
      </c>
      <c r="D11" s="89" t="s">
        <v>66</v>
      </c>
      <c r="E11" s="88">
        <v>106800</v>
      </c>
    </row>
    <row r="12" spans="1:9" x14ac:dyDescent="0.25">
      <c r="A12" s="87"/>
      <c r="B12" s="88"/>
      <c r="C12" s="88"/>
      <c r="D12" s="90"/>
      <c r="E12" s="88"/>
    </row>
    <row r="13" spans="1:9" x14ac:dyDescent="0.25">
      <c r="A13" s="14" t="s">
        <v>58</v>
      </c>
      <c r="B13" s="32">
        <v>45050</v>
      </c>
      <c r="C13" s="32">
        <v>32400</v>
      </c>
      <c r="D13" s="40" t="s">
        <v>66</v>
      </c>
      <c r="E13" s="32">
        <v>38600</v>
      </c>
    </row>
    <row r="14" spans="1:9" x14ac:dyDescent="0.25">
      <c r="A14" s="14" t="s">
        <v>59</v>
      </c>
      <c r="B14" s="32">
        <v>11340</v>
      </c>
      <c r="C14" s="39"/>
      <c r="D14" s="40" t="s">
        <v>66</v>
      </c>
      <c r="E14" s="39"/>
    </row>
    <row r="15" spans="1:9" x14ac:dyDescent="0.25">
      <c r="A15" s="14" t="s">
        <v>64</v>
      </c>
      <c r="B15" s="32">
        <v>124840</v>
      </c>
      <c r="C15" s="39"/>
      <c r="D15" s="40" t="s">
        <v>66</v>
      </c>
      <c r="E15" s="39"/>
    </row>
    <row r="16" spans="1:9" x14ac:dyDescent="0.25">
      <c r="A16" s="14" t="s">
        <v>67</v>
      </c>
      <c r="B16" s="32">
        <f>SUM(B11:B15)</f>
        <v>291230</v>
      </c>
      <c r="C16" s="39"/>
      <c r="D16" s="39"/>
      <c r="E16" s="39"/>
    </row>
    <row r="18" spans="1:9" x14ac:dyDescent="0.25">
      <c r="A18" s="10" t="s">
        <v>71</v>
      </c>
      <c r="B18" s="10"/>
      <c r="C18" s="10"/>
      <c r="D18" s="10"/>
      <c r="E18" s="10"/>
      <c r="F18" s="10"/>
      <c r="G18" s="10"/>
      <c r="H18" s="10"/>
      <c r="I18" s="10"/>
    </row>
    <row r="19" spans="1:9" x14ac:dyDescent="0.25">
      <c r="A19" s="33" t="s">
        <v>90</v>
      </c>
      <c r="B19" s="10"/>
      <c r="C19" s="10"/>
      <c r="D19" s="10"/>
      <c r="E19" s="10"/>
      <c r="F19" s="10"/>
      <c r="G19" s="10"/>
      <c r="H19" s="10"/>
      <c r="I19" s="10"/>
    </row>
    <row r="20" spans="1:9" x14ac:dyDescent="0.25">
      <c r="A20" s="10" t="s">
        <v>89</v>
      </c>
      <c r="B20" s="10"/>
      <c r="C20" s="10"/>
      <c r="D20" s="10"/>
      <c r="E20" s="10"/>
      <c r="F20" s="10"/>
      <c r="G20" s="10"/>
      <c r="H20" s="10"/>
      <c r="I20" s="10"/>
    </row>
    <row r="21" spans="1:9" x14ac:dyDescent="0.25">
      <c r="A21" s="33" t="s">
        <v>68</v>
      </c>
      <c r="B21" s="10"/>
      <c r="C21" s="10"/>
      <c r="D21" s="10"/>
      <c r="E21" s="10"/>
      <c r="F21" s="10"/>
      <c r="G21" s="10"/>
      <c r="H21" s="10"/>
      <c r="I21" s="10"/>
    </row>
    <row r="22" spans="1:9" x14ac:dyDescent="0.25">
      <c r="A22" s="33" t="s">
        <v>91</v>
      </c>
      <c r="B22" s="10"/>
      <c r="C22" s="10"/>
      <c r="D22" s="10"/>
      <c r="E22" s="10"/>
      <c r="F22" s="10"/>
      <c r="G22" s="10"/>
      <c r="H22" s="10"/>
      <c r="I22" s="10"/>
    </row>
    <row r="23" spans="1:9" x14ac:dyDescent="0.25">
      <c r="A23" s="10" t="s">
        <v>92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33" t="s">
        <v>69</v>
      </c>
      <c r="B24" s="10"/>
      <c r="C24" s="10"/>
      <c r="D24" s="10"/>
      <c r="E24" s="10"/>
      <c r="F24" s="10"/>
      <c r="G24" s="10"/>
      <c r="H24" s="10"/>
      <c r="I24" s="10"/>
    </row>
    <row r="25" spans="1:9" x14ac:dyDescent="0.25">
      <c r="A25" s="33" t="s">
        <v>93</v>
      </c>
      <c r="B25" s="10"/>
      <c r="C25" s="10"/>
      <c r="D25" s="10"/>
      <c r="E25" s="10"/>
      <c r="F25" s="10"/>
      <c r="G25" s="10"/>
      <c r="H25" s="10"/>
      <c r="I25" s="10"/>
    </row>
    <row r="26" spans="1:9" x14ac:dyDescent="0.25">
      <c r="A26" s="10" t="s">
        <v>94</v>
      </c>
      <c r="B26" s="10"/>
      <c r="C26" s="10"/>
      <c r="D26" s="10"/>
      <c r="E26" s="10"/>
      <c r="F26" s="10"/>
      <c r="G26" s="10"/>
      <c r="H26" s="10"/>
      <c r="I26" s="10"/>
    </row>
    <row r="27" spans="1:9" x14ac:dyDescent="0.25">
      <c r="A27" s="33" t="s">
        <v>88</v>
      </c>
      <c r="B27" s="10"/>
      <c r="C27" s="10"/>
      <c r="D27" s="10"/>
      <c r="E27" s="10"/>
      <c r="F27" s="10"/>
      <c r="G27" s="10"/>
      <c r="H27" s="10"/>
      <c r="I27" s="10"/>
    </row>
    <row r="28" spans="1:9" x14ac:dyDescent="0.25">
      <c r="A28" s="33" t="s">
        <v>80</v>
      </c>
      <c r="B28" s="10"/>
      <c r="C28" s="10"/>
      <c r="D28" s="10"/>
      <c r="E28" s="10"/>
      <c r="F28" s="10"/>
      <c r="G28" s="10"/>
      <c r="H28" s="10"/>
      <c r="I28" s="10"/>
    </row>
    <row r="29" spans="1:9" x14ac:dyDescent="0.25">
      <c r="A29" s="33" t="s">
        <v>70</v>
      </c>
      <c r="B29" s="10"/>
      <c r="C29" s="10"/>
      <c r="D29" s="10"/>
      <c r="E29" s="10"/>
      <c r="F29" s="10"/>
      <c r="G29" s="10"/>
      <c r="H29" s="10"/>
      <c r="I29" s="10"/>
    </row>
    <row r="30" spans="1:9" x14ac:dyDescent="0.25">
      <c r="A30" s="33" t="s">
        <v>96</v>
      </c>
      <c r="B30" s="10"/>
      <c r="C30" s="10"/>
      <c r="D30" s="10"/>
      <c r="E30" s="10"/>
      <c r="F30" s="10"/>
      <c r="G30" s="10"/>
      <c r="H30" s="10"/>
      <c r="I30" s="10"/>
    </row>
    <row r="31" spans="1:9" x14ac:dyDescent="0.25">
      <c r="A31" s="10" t="s">
        <v>95</v>
      </c>
      <c r="B31" s="10"/>
      <c r="C31" s="10"/>
      <c r="D31" s="10"/>
      <c r="E31" s="10"/>
      <c r="F31" s="10"/>
      <c r="G31" s="10"/>
      <c r="H31" s="10"/>
      <c r="I31" s="10"/>
    </row>
    <row r="33" spans="2:9" x14ac:dyDescent="0.25">
      <c r="B33" s="91" t="s">
        <v>73</v>
      </c>
      <c r="C33" s="91"/>
      <c r="E33" s="91" t="s">
        <v>74</v>
      </c>
      <c r="F33" s="91"/>
      <c r="H33" s="91" t="s">
        <v>75</v>
      </c>
      <c r="I33" s="91"/>
    </row>
    <row r="34" spans="2:9" x14ac:dyDescent="0.25">
      <c r="B34" s="34"/>
      <c r="E34" s="34"/>
      <c r="H34" s="34"/>
    </row>
    <row r="35" spans="2:9" x14ac:dyDescent="0.25">
      <c r="B35" s="35"/>
      <c r="E35" s="35"/>
      <c r="H35" s="35"/>
    </row>
    <row r="36" spans="2:9" x14ac:dyDescent="0.25">
      <c r="B36" s="35"/>
      <c r="E36" s="35"/>
      <c r="H36" s="35"/>
    </row>
    <row r="37" spans="2:9" x14ac:dyDescent="0.25">
      <c r="B37" s="35"/>
      <c r="E37" s="35"/>
      <c r="H37" s="35"/>
    </row>
    <row r="38" spans="2:9" x14ac:dyDescent="0.25">
      <c r="B38" s="35"/>
      <c r="E38" s="35"/>
      <c r="H38" s="35"/>
    </row>
    <row r="39" spans="2:9" ht="16.2" thickBot="1" x14ac:dyDescent="0.35">
      <c r="E39" s="42" t="s">
        <v>60</v>
      </c>
      <c r="F39" s="43" t="s">
        <v>61</v>
      </c>
    </row>
    <row r="40" spans="2:9" x14ac:dyDescent="0.25">
      <c r="E40" s="37"/>
      <c r="F40" s="35"/>
    </row>
    <row r="41" spans="2:9" x14ac:dyDescent="0.25">
      <c r="E41" s="37"/>
      <c r="F41" s="35"/>
    </row>
    <row r="42" spans="2:9" x14ac:dyDescent="0.25">
      <c r="B42" s="91" t="s">
        <v>76</v>
      </c>
      <c r="C42" s="91"/>
      <c r="E42" s="37"/>
      <c r="F42" s="35"/>
      <c r="H42" s="91" t="s">
        <v>77</v>
      </c>
      <c r="I42" s="91"/>
    </row>
    <row r="43" spans="2:9" x14ac:dyDescent="0.25">
      <c r="B43" s="34"/>
      <c r="E43" s="37"/>
      <c r="F43" s="35"/>
      <c r="H43" s="34"/>
    </row>
    <row r="44" spans="2:9" x14ac:dyDescent="0.25">
      <c r="B44" s="35"/>
      <c r="E44" s="38"/>
      <c r="F44" s="36"/>
      <c r="H44" s="35"/>
    </row>
    <row r="45" spans="2:9" x14ac:dyDescent="0.25">
      <c r="B45" s="35"/>
      <c r="H45" s="35"/>
    </row>
    <row r="46" spans="2:9" x14ac:dyDescent="0.25">
      <c r="B46" s="35"/>
      <c r="H46" s="35"/>
    </row>
    <row r="47" spans="2:9" x14ac:dyDescent="0.25">
      <c r="B47" s="35"/>
      <c r="H47" s="35"/>
    </row>
    <row r="50" spans="2:9" x14ac:dyDescent="0.25">
      <c r="B50" s="91" t="s">
        <v>78</v>
      </c>
      <c r="C50" s="91"/>
      <c r="E50" s="91" t="s">
        <v>79</v>
      </c>
      <c r="F50" s="91"/>
      <c r="H50" s="91" t="s">
        <v>81</v>
      </c>
      <c r="I50" s="91"/>
    </row>
    <row r="51" spans="2:9" x14ac:dyDescent="0.25">
      <c r="B51" s="34"/>
      <c r="E51" s="34"/>
      <c r="H51" s="34"/>
    </row>
    <row r="52" spans="2:9" x14ac:dyDescent="0.25">
      <c r="B52" s="35"/>
      <c r="E52" s="35"/>
      <c r="H52" s="35"/>
    </row>
    <row r="53" spans="2:9" x14ac:dyDescent="0.25">
      <c r="B53" s="35"/>
      <c r="E53" s="35"/>
      <c r="H53" s="35"/>
    </row>
    <row r="54" spans="2:9" x14ac:dyDescent="0.25">
      <c r="B54" s="35"/>
      <c r="E54" s="35"/>
      <c r="H54" s="35"/>
    </row>
    <row r="55" spans="2:9" x14ac:dyDescent="0.25">
      <c r="B55" s="35"/>
      <c r="E55" s="35"/>
      <c r="H55" s="35"/>
    </row>
    <row r="57" spans="2:9" x14ac:dyDescent="0.25">
      <c r="B57" s="91" t="s">
        <v>82</v>
      </c>
      <c r="C57" s="91"/>
      <c r="E57" s="91" t="s">
        <v>83</v>
      </c>
      <c r="F57" s="91"/>
      <c r="H57" s="91" t="s">
        <v>84</v>
      </c>
      <c r="I57" s="91"/>
    </row>
    <row r="58" spans="2:9" x14ac:dyDescent="0.25">
      <c r="B58" s="34"/>
      <c r="E58" s="34"/>
      <c r="H58" s="34"/>
    </row>
    <row r="59" spans="2:9" x14ac:dyDescent="0.25">
      <c r="B59" s="35"/>
      <c r="E59" s="35"/>
      <c r="H59" s="35"/>
    </row>
    <row r="60" spans="2:9" x14ac:dyDescent="0.25">
      <c r="B60" s="35"/>
      <c r="E60" s="35"/>
      <c r="H60" s="35"/>
    </row>
    <row r="61" spans="2:9" x14ac:dyDescent="0.25">
      <c r="B61" s="35"/>
      <c r="E61" s="35"/>
      <c r="H61" s="35"/>
    </row>
    <row r="64" spans="2:9" x14ac:dyDescent="0.25">
      <c r="B64" s="91" t="s">
        <v>85</v>
      </c>
      <c r="C64" s="91"/>
    </row>
    <row r="65" spans="2:2" x14ac:dyDescent="0.25">
      <c r="B65" s="34"/>
    </row>
    <row r="66" spans="2:2" x14ac:dyDescent="0.25">
      <c r="B66" s="35"/>
    </row>
    <row r="67" spans="2:2" x14ac:dyDescent="0.25">
      <c r="B67" s="35"/>
    </row>
    <row r="68" spans="2:2" x14ac:dyDescent="0.25">
      <c r="B68" s="35"/>
    </row>
    <row r="69" spans="2:2" x14ac:dyDescent="0.25">
      <c r="B69" s="35"/>
    </row>
  </sheetData>
  <mergeCells count="19">
    <mergeCell ref="B64:C64"/>
    <mergeCell ref="B50:C50"/>
    <mergeCell ref="E50:F50"/>
    <mergeCell ref="H50:I50"/>
    <mergeCell ref="B57:C57"/>
    <mergeCell ref="E57:F57"/>
    <mergeCell ref="H57:I57"/>
    <mergeCell ref="B33:C33"/>
    <mergeCell ref="E33:F33"/>
    <mergeCell ref="H33:I33"/>
    <mergeCell ref="B42:C42"/>
    <mergeCell ref="H42:I42"/>
    <mergeCell ref="B9:C9"/>
    <mergeCell ref="D9:E9"/>
    <mergeCell ref="A11:A12"/>
    <mergeCell ref="B11:B12"/>
    <mergeCell ref="C11:C12"/>
    <mergeCell ref="D11:D12"/>
    <mergeCell ref="E11:E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F1FB-E571-4A83-A351-A562348AEA02}">
  <dimension ref="A1:J73"/>
  <sheetViews>
    <sheetView topLeftCell="A6" workbookViewId="0">
      <selection activeCell="E20" sqref="E20"/>
    </sheetView>
  </sheetViews>
  <sheetFormatPr defaultRowHeight="15" x14ac:dyDescent="0.25"/>
  <cols>
    <col min="1" max="1" width="33.44140625" style="8" customWidth="1"/>
    <col min="2" max="2" width="11.109375" style="8" customWidth="1"/>
    <col min="3" max="4" width="10.77734375" style="8" customWidth="1"/>
    <col min="5" max="5" width="12" style="8" customWidth="1"/>
    <col min="6" max="6" width="12.44140625" style="8" customWidth="1"/>
    <col min="7" max="7" width="8.88671875" style="8"/>
    <col min="8" max="8" width="11.88671875" style="8" customWidth="1"/>
    <col min="9" max="9" width="11.109375" style="8" customWidth="1"/>
    <col min="10" max="16384" width="8.88671875" style="8"/>
  </cols>
  <sheetData>
    <row r="1" spans="1:9" ht="15.6" x14ac:dyDescent="0.3">
      <c r="A1" s="9" t="s">
        <v>53</v>
      </c>
      <c r="B1" s="10"/>
      <c r="C1" s="10"/>
      <c r="D1" s="10"/>
      <c r="E1" s="10"/>
      <c r="F1" s="10"/>
      <c r="G1" s="10"/>
      <c r="H1" s="10"/>
      <c r="I1" s="10"/>
    </row>
    <row r="3" spans="1:9" x14ac:dyDescent="0.25">
      <c r="A3" s="10" t="s">
        <v>57</v>
      </c>
      <c r="B3" s="10"/>
      <c r="C3" s="10"/>
      <c r="D3" s="10"/>
      <c r="E3" s="10"/>
      <c r="F3" s="10"/>
      <c r="G3" s="10"/>
      <c r="H3" s="10"/>
      <c r="I3" s="10"/>
    </row>
    <row r="4" spans="1:9" x14ac:dyDescent="0.25">
      <c r="A4" s="10" t="s">
        <v>54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10" t="s">
        <v>55</v>
      </c>
      <c r="B5" s="10"/>
      <c r="C5" s="10"/>
      <c r="D5" s="10"/>
      <c r="E5" s="10"/>
      <c r="F5" s="10"/>
      <c r="G5" s="10"/>
      <c r="H5" s="10"/>
      <c r="I5" s="10"/>
    </row>
    <row r="6" spans="1:9" x14ac:dyDescent="0.25">
      <c r="A6" s="10" t="s">
        <v>56</v>
      </c>
      <c r="B6" s="10"/>
      <c r="C6" s="10"/>
      <c r="D6" s="10"/>
      <c r="E6" s="10"/>
      <c r="F6" s="10"/>
      <c r="G6" s="10"/>
      <c r="H6" s="10"/>
      <c r="I6" s="10"/>
    </row>
    <row r="7" spans="1:9" x14ac:dyDescent="0.25">
      <c r="A7" s="10" t="s">
        <v>86</v>
      </c>
      <c r="B7" s="10"/>
      <c r="C7" s="10"/>
      <c r="D7" s="10"/>
      <c r="E7" s="10"/>
      <c r="F7" s="10"/>
      <c r="G7" s="10"/>
      <c r="H7" s="10"/>
      <c r="I7" s="10"/>
    </row>
    <row r="9" spans="1:9" ht="15.6" x14ac:dyDescent="0.3">
      <c r="B9" s="85" t="s">
        <v>60</v>
      </c>
      <c r="C9" s="85"/>
      <c r="D9" s="85" t="s">
        <v>61</v>
      </c>
      <c r="E9" s="85"/>
    </row>
    <row r="10" spans="1:9" ht="15.6" x14ac:dyDescent="0.3">
      <c r="B10" s="21" t="s">
        <v>62</v>
      </c>
      <c r="C10" s="21" t="s">
        <v>63</v>
      </c>
      <c r="D10" s="21" t="s">
        <v>62</v>
      </c>
      <c r="E10" s="21" t="s">
        <v>63</v>
      </c>
    </row>
    <row r="11" spans="1:9" ht="15" customHeight="1" x14ac:dyDescent="0.25">
      <c r="A11" s="86" t="s">
        <v>65</v>
      </c>
      <c r="B11" s="88">
        <v>110000</v>
      </c>
      <c r="C11" s="88">
        <v>56500</v>
      </c>
      <c r="D11" s="89" t="s">
        <v>66</v>
      </c>
      <c r="E11" s="88">
        <v>106800</v>
      </c>
    </row>
    <row r="12" spans="1:9" x14ac:dyDescent="0.25">
      <c r="A12" s="87"/>
      <c r="B12" s="88"/>
      <c r="C12" s="88"/>
      <c r="D12" s="90"/>
      <c r="E12" s="88"/>
    </row>
    <row r="13" spans="1:9" x14ac:dyDescent="0.25">
      <c r="A13" s="14" t="s">
        <v>58</v>
      </c>
      <c r="B13" s="32">
        <v>45050</v>
      </c>
      <c r="C13" s="32">
        <v>32400</v>
      </c>
      <c r="D13" s="40" t="s">
        <v>66</v>
      </c>
      <c r="E13" s="32">
        <v>38600</v>
      </c>
    </row>
    <row r="14" spans="1:9" x14ac:dyDescent="0.25">
      <c r="A14" s="14" t="s">
        <v>59</v>
      </c>
      <c r="B14" s="32">
        <v>11340</v>
      </c>
      <c r="C14" s="39"/>
      <c r="D14" s="40" t="s">
        <v>66</v>
      </c>
      <c r="E14" s="39"/>
    </row>
    <row r="15" spans="1:9" x14ac:dyDescent="0.25">
      <c r="A15" s="14" t="s">
        <v>64</v>
      </c>
      <c r="B15" s="32">
        <v>124840</v>
      </c>
      <c r="C15" s="39"/>
      <c r="D15" s="40" t="s">
        <v>66</v>
      </c>
      <c r="E15" s="39"/>
    </row>
    <row r="16" spans="1:9" x14ac:dyDescent="0.25">
      <c r="A16" s="14" t="s">
        <v>67</v>
      </c>
      <c r="B16" s="32">
        <f>SUM(B11:B15)</f>
        <v>291230</v>
      </c>
      <c r="C16" s="39"/>
      <c r="D16" s="39"/>
      <c r="E16" s="39"/>
    </row>
    <row r="18" spans="1:9" x14ac:dyDescent="0.25">
      <c r="A18" s="10" t="s">
        <v>71</v>
      </c>
      <c r="B18" s="10"/>
      <c r="C18" s="10"/>
      <c r="D18" s="10"/>
      <c r="E18" s="10"/>
      <c r="F18" s="10"/>
      <c r="G18" s="10"/>
      <c r="H18" s="10"/>
      <c r="I18" s="10"/>
    </row>
    <row r="19" spans="1:9" x14ac:dyDescent="0.25">
      <c r="A19" s="33" t="s">
        <v>90</v>
      </c>
      <c r="B19" s="10"/>
      <c r="C19" s="10"/>
      <c r="D19" s="10"/>
      <c r="E19" s="10"/>
      <c r="F19" s="10"/>
      <c r="G19" s="10"/>
      <c r="H19" s="10"/>
      <c r="I19" s="10"/>
    </row>
    <row r="20" spans="1:9" x14ac:dyDescent="0.25">
      <c r="A20" s="10" t="s">
        <v>89</v>
      </c>
      <c r="B20" s="10"/>
      <c r="C20" s="10"/>
      <c r="D20" s="10"/>
      <c r="E20" s="10"/>
      <c r="F20" s="10"/>
      <c r="G20" s="10"/>
      <c r="H20" s="10"/>
      <c r="I20" s="10"/>
    </row>
    <row r="21" spans="1:9" x14ac:dyDescent="0.25">
      <c r="A21" s="33" t="s">
        <v>68</v>
      </c>
      <c r="B21" s="10"/>
      <c r="C21" s="10"/>
      <c r="D21" s="10"/>
      <c r="E21" s="10"/>
      <c r="F21" s="10"/>
      <c r="G21" s="10"/>
      <c r="H21" s="10"/>
      <c r="I21" s="10"/>
    </row>
    <row r="22" spans="1:9" x14ac:dyDescent="0.25">
      <c r="A22" s="33" t="s">
        <v>91</v>
      </c>
      <c r="B22" s="10"/>
      <c r="C22" s="10"/>
      <c r="D22" s="10"/>
      <c r="E22" s="10"/>
      <c r="F22" s="10"/>
      <c r="G22" s="10"/>
      <c r="H22" s="10"/>
      <c r="I22" s="10"/>
    </row>
    <row r="23" spans="1:9" x14ac:dyDescent="0.25">
      <c r="A23" s="10" t="s">
        <v>92</v>
      </c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33" t="s">
        <v>69</v>
      </c>
      <c r="B24" s="10"/>
      <c r="C24" s="10"/>
      <c r="D24" s="10"/>
      <c r="E24" s="10"/>
      <c r="F24" s="10"/>
      <c r="G24" s="10"/>
      <c r="H24" s="10"/>
      <c r="I24" s="10"/>
    </row>
    <row r="25" spans="1:9" x14ac:dyDescent="0.25">
      <c r="A25" s="33" t="s">
        <v>93</v>
      </c>
      <c r="B25" s="10"/>
      <c r="C25" s="10"/>
      <c r="D25" s="10"/>
      <c r="E25" s="10"/>
      <c r="F25" s="10"/>
      <c r="G25" s="10"/>
      <c r="H25" s="10"/>
      <c r="I25" s="10"/>
    </row>
    <row r="26" spans="1:9" x14ac:dyDescent="0.25">
      <c r="A26" s="10" t="s">
        <v>94</v>
      </c>
      <c r="B26" s="10"/>
      <c r="C26" s="10"/>
      <c r="D26" s="10"/>
      <c r="E26" s="10"/>
      <c r="F26" s="10"/>
      <c r="G26" s="10"/>
      <c r="H26" s="10"/>
      <c r="I26" s="10"/>
    </row>
    <row r="27" spans="1:9" x14ac:dyDescent="0.25">
      <c r="A27" s="33" t="s">
        <v>88</v>
      </c>
      <c r="B27" s="10"/>
      <c r="C27" s="10"/>
      <c r="D27" s="10"/>
      <c r="E27" s="10"/>
      <c r="F27" s="10"/>
      <c r="G27" s="10"/>
      <c r="H27" s="10"/>
      <c r="I27" s="10"/>
    </row>
    <row r="28" spans="1:9" x14ac:dyDescent="0.25">
      <c r="A28" s="33" t="s">
        <v>80</v>
      </c>
      <c r="B28" s="10"/>
      <c r="C28" s="10"/>
      <c r="D28" s="10"/>
      <c r="E28" s="10"/>
      <c r="F28" s="10"/>
      <c r="G28" s="10"/>
      <c r="H28" s="10"/>
      <c r="I28" s="10"/>
    </row>
    <row r="29" spans="1:9" x14ac:dyDescent="0.25">
      <c r="A29" s="33" t="s">
        <v>70</v>
      </c>
      <c r="B29" s="10"/>
      <c r="C29" s="10"/>
      <c r="D29" s="10"/>
      <c r="E29" s="10"/>
      <c r="F29" s="10"/>
      <c r="G29" s="10"/>
      <c r="H29" s="10"/>
      <c r="I29" s="10"/>
    </row>
    <row r="30" spans="1:9" x14ac:dyDescent="0.25">
      <c r="A30" s="33" t="s">
        <v>96</v>
      </c>
      <c r="B30" s="10"/>
      <c r="C30" s="10"/>
      <c r="D30" s="10"/>
      <c r="E30" s="10"/>
      <c r="F30" s="10"/>
      <c r="G30" s="10"/>
      <c r="H30" s="10"/>
      <c r="I30" s="10"/>
    </row>
    <row r="31" spans="1:9" x14ac:dyDescent="0.25">
      <c r="A31" s="10" t="s">
        <v>95</v>
      </c>
      <c r="B31" s="10"/>
      <c r="C31" s="10"/>
      <c r="D31" s="10"/>
      <c r="E31" s="10"/>
      <c r="F31" s="10"/>
      <c r="G31" s="10"/>
      <c r="H31" s="10"/>
      <c r="I31" s="10"/>
    </row>
    <row r="34" spans="2:10" x14ac:dyDescent="0.25">
      <c r="B34" s="91" t="s">
        <v>73</v>
      </c>
      <c r="C34" s="91"/>
      <c r="E34" s="91" t="s">
        <v>74</v>
      </c>
      <c r="F34" s="91"/>
      <c r="H34" s="91" t="s">
        <v>75</v>
      </c>
      <c r="I34" s="91"/>
    </row>
    <row r="35" spans="2:10" x14ac:dyDescent="0.25">
      <c r="B35" s="41">
        <f>180000</f>
        <v>180000</v>
      </c>
      <c r="C35" s="45">
        <f>(C11+E11)*0.8</f>
        <v>130640</v>
      </c>
      <c r="D35" s="45"/>
      <c r="E35" s="41">
        <f>B16</f>
        <v>291230</v>
      </c>
      <c r="F35" s="45">
        <f>12/15*SUM(E41:E44)</f>
        <v>360061.60000000003</v>
      </c>
      <c r="G35" s="45"/>
      <c r="H35" s="41">
        <f>65000</f>
        <v>65000</v>
      </c>
      <c r="I35" s="45">
        <f>10/15*H36</f>
        <v>240041.06666666668</v>
      </c>
    </row>
    <row r="36" spans="2:10" x14ac:dyDescent="0.25">
      <c r="B36" s="46"/>
      <c r="C36" s="45">
        <f>(C11+E11)*0.2</f>
        <v>32660</v>
      </c>
      <c r="D36" s="45"/>
      <c r="E36" s="46">
        <f>C35</f>
        <v>130640</v>
      </c>
      <c r="F36" s="53">
        <f>SUM(E35:E38)-F35</f>
        <v>367633.8</v>
      </c>
      <c r="G36" s="53" t="s">
        <v>72</v>
      </c>
      <c r="H36" s="46">
        <f>F35</f>
        <v>360061.60000000003</v>
      </c>
      <c r="I36" s="53">
        <f>H35+H36-I35</f>
        <v>185020.53333333335</v>
      </c>
      <c r="J36" s="54" t="s">
        <v>72</v>
      </c>
    </row>
    <row r="37" spans="2:10" ht="15.6" x14ac:dyDescent="0.3">
      <c r="B37" s="46"/>
      <c r="C37" s="45"/>
      <c r="D37" s="45"/>
      <c r="E37" s="46">
        <f>C44</f>
        <v>71000</v>
      </c>
      <c r="F37" s="55">
        <f>F36/(F36+I36+H52)*C61</f>
        <v>26975.767779805465</v>
      </c>
      <c r="G37" s="57" t="s">
        <v>98</v>
      </c>
      <c r="H37" s="46"/>
      <c r="I37" s="55">
        <f>I36/(F36+I36+H52)*C61</f>
        <v>13576.202573582073</v>
      </c>
      <c r="J37" s="56" t="s">
        <v>98</v>
      </c>
    </row>
    <row r="38" spans="2:10" x14ac:dyDescent="0.25">
      <c r="B38" s="46"/>
      <c r="C38" s="53">
        <f>B35-C35-C36</f>
        <v>16700</v>
      </c>
      <c r="D38" s="53" t="s">
        <v>72</v>
      </c>
      <c r="E38" s="46">
        <f>C59</f>
        <v>234825.40000000002</v>
      </c>
      <c r="F38" s="59">
        <f>F36-F37</f>
        <v>340658.03222019452</v>
      </c>
      <c r="G38" s="60" t="s">
        <v>99</v>
      </c>
      <c r="H38" s="46"/>
      <c r="I38" s="59">
        <f>I36-I37</f>
        <v>171444.33075975129</v>
      </c>
      <c r="J38" s="60" t="s">
        <v>99</v>
      </c>
    </row>
    <row r="39" spans="2:10" x14ac:dyDescent="0.25">
      <c r="B39" s="46"/>
      <c r="C39" s="45"/>
      <c r="F39" s="45"/>
      <c r="G39" s="45"/>
      <c r="H39" s="46"/>
      <c r="I39" s="45"/>
    </row>
    <row r="40" spans="2:10" ht="16.2" thickBot="1" x14ac:dyDescent="0.35">
      <c r="B40" s="45"/>
      <c r="C40" s="45"/>
      <c r="D40" s="45"/>
      <c r="E40" s="47" t="s">
        <v>60</v>
      </c>
      <c r="F40" s="48" t="s">
        <v>61</v>
      </c>
      <c r="G40" s="45"/>
      <c r="H40" s="45"/>
      <c r="I40" s="45"/>
    </row>
    <row r="41" spans="2:10" x14ac:dyDescent="0.25">
      <c r="B41" s="45"/>
      <c r="C41" s="45"/>
      <c r="D41" s="45"/>
      <c r="E41" s="49">
        <f>C13</f>
        <v>32400</v>
      </c>
      <c r="F41" s="46">
        <f>E13</f>
        <v>38600</v>
      </c>
      <c r="G41" s="45"/>
      <c r="H41" s="45"/>
      <c r="I41" s="45"/>
    </row>
    <row r="42" spans="2:10" x14ac:dyDescent="0.25">
      <c r="B42" s="45"/>
      <c r="C42" s="45"/>
      <c r="D42" s="45"/>
      <c r="E42" s="49">
        <f>((B15+B14+0.2*B11)/(0.8*B11))*(C11*0.8)</f>
        <v>81247</v>
      </c>
      <c r="F42" s="46">
        <f>((B15+B14+0.2*B11)/(0.8*B11))*(0.8*E11)</f>
        <v>153578.4</v>
      </c>
      <c r="G42" s="45"/>
      <c r="H42" s="45"/>
      <c r="I42" s="45"/>
    </row>
    <row r="43" spans="2:10" x14ac:dyDescent="0.25">
      <c r="B43" s="92" t="s">
        <v>76</v>
      </c>
      <c r="C43" s="92"/>
      <c r="D43" s="45"/>
      <c r="E43" s="49">
        <f>0.8*C11</f>
        <v>45200</v>
      </c>
      <c r="F43" s="46">
        <f>0.8*E11</f>
        <v>85440</v>
      </c>
      <c r="G43" s="45"/>
      <c r="H43" s="93" t="s">
        <v>87</v>
      </c>
      <c r="I43" s="92"/>
    </row>
    <row r="44" spans="2:10" x14ac:dyDescent="0.25">
      <c r="B44" s="41"/>
      <c r="C44" s="45">
        <f>C13+E13</f>
        <v>71000</v>
      </c>
      <c r="D44" s="45"/>
      <c r="E44" s="49">
        <f>E35</f>
        <v>291230</v>
      </c>
      <c r="F44" s="46"/>
      <c r="G44" s="45"/>
      <c r="H44" s="41">
        <f>0.1*10000</f>
        <v>1000</v>
      </c>
      <c r="I44" s="45"/>
    </row>
    <row r="45" spans="2:10" x14ac:dyDescent="0.25">
      <c r="B45" s="46"/>
      <c r="C45" s="45">
        <f>B60</f>
        <v>45000</v>
      </c>
      <c r="D45" s="45"/>
      <c r="E45" s="50"/>
      <c r="F45" s="51"/>
      <c r="G45" s="45"/>
      <c r="H45" s="46">
        <f>8000</f>
        <v>8000</v>
      </c>
      <c r="I45" s="45"/>
    </row>
    <row r="46" spans="2:10" x14ac:dyDescent="0.25">
      <c r="B46" s="46"/>
      <c r="C46" s="45"/>
      <c r="D46" s="45"/>
      <c r="E46" s="45"/>
      <c r="F46" s="45"/>
      <c r="G46" s="45"/>
      <c r="H46" s="46"/>
      <c r="I46" s="45"/>
    </row>
    <row r="47" spans="2:10" x14ac:dyDescent="0.25">
      <c r="B47" s="46"/>
      <c r="C47" s="45"/>
      <c r="D47" s="45"/>
      <c r="E47" s="45"/>
      <c r="F47" s="45"/>
      <c r="G47" s="45"/>
      <c r="H47" s="46"/>
      <c r="I47" s="45"/>
    </row>
    <row r="48" spans="2:10" x14ac:dyDescent="0.25">
      <c r="B48" s="46"/>
      <c r="C48" s="45"/>
      <c r="D48" s="45"/>
      <c r="E48" s="45"/>
      <c r="F48" s="45"/>
      <c r="G48" s="45"/>
      <c r="H48" s="46"/>
      <c r="I48" s="45"/>
    </row>
    <row r="49" spans="2:10" x14ac:dyDescent="0.25">
      <c r="B49" s="45"/>
      <c r="C49" s="45"/>
      <c r="D49" s="45"/>
      <c r="E49" s="45"/>
      <c r="F49" s="45"/>
      <c r="G49" s="45"/>
      <c r="H49" s="45"/>
      <c r="I49" s="45"/>
    </row>
    <row r="50" spans="2:10" x14ac:dyDescent="0.25">
      <c r="B50" s="45"/>
      <c r="C50" s="45"/>
      <c r="D50" s="45"/>
      <c r="E50" s="45"/>
      <c r="F50" s="45"/>
      <c r="G50" s="45"/>
      <c r="H50" s="45"/>
      <c r="I50" s="45"/>
    </row>
    <row r="51" spans="2:10" x14ac:dyDescent="0.25">
      <c r="B51" s="92" t="s">
        <v>78</v>
      </c>
      <c r="C51" s="92"/>
      <c r="D51" s="45"/>
      <c r="E51" s="92" t="s">
        <v>79</v>
      </c>
      <c r="F51" s="92"/>
      <c r="G51" s="45"/>
      <c r="H51" s="92" t="s">
        <v>81</v>
      </c>
      <c r="I51" s="93"/>
    </row>
    <row r="52" spans="2:10" x14ac:dyDescent="0.25">
      <c r="B52" s="41"/>
      <c r="C52" s="45">
        <f>34000*10</f>
        <v>340000</v>
      </c>
      <c r="D52" s="45"/>
      <c r="E52" s="41">
        <f>C52</f>
        <v>340000</v>
      </c>
      <c r="F52" s="45"/>
      <c r="G52" s="45"/>
      <c r="H52" s="58">
        <f>I35</f>
        <v>240041.06666666668</v>
      </c>
      <c r="I52" s="52">
        <f>H52/(H52+I36+F36)*C61</f>
        <v>17613.42964661248</v>
      </c>
    </row>
    <row r="53" spans="2:10" x14ac:dyDescent="0.25">
      <c r="B53" s="46"/>
      <c r="C53" s="45"/>
      <c r="D53" s="45"/>
      <c r="E53" s="46"/>
      <c r="F53" s="45"/>
      <c r="G53" s="45"/>
      <c r="H53" s="35"/>
      <c r="I53" s="59">
        <f>H52-I52</f>
        <v>222427.63702005422</v>
      </c>
      <c r="J53" s="60" t="s">
        <v>100</v>
      </c>
    </row>
    <row r="54" spans="2:10" x14ac:dyDescent="0.25">
      <c r="B54" s="46"/>
      <c r="C54" s="45"/>
      <c r="D54" s="45"/>
      <c r="E54" s="46"/>
      <c r="F54" s="45"/>
      <c r="G54" s="45"/>
      <c r="H54" s="46"/>
      <c r="I54" s="45"/>
    </row>
    <row r="55" spans="2:10" x14ac:dyDescent="0.25">
      <c r="B55" s="46"/>
      <c r="C55" s="45"/>
      <c r="D55" s="45"/>
      <c r="E55" s="46"/>
      <c r="F55" s="45"/>
      <c r="G55" s="45"/>
      <c r="H55" s="46"/>
      <c r="I55" s="45"/>
    </row>
    <row r="56" spans="2:10" x14ac:dyDescent="0.25">
      <c r="B56" s="46"/>
      <c r="C56" s="45"/>
      <c r="D56" s="45"/>
      <c r="E56" s="46"/>
      <c r="F56" s="45"/>
      <c r="G56" s="45"/>
      <c r="H56" s="46"/>
      <c r="I56" s="45"/>
    </row>
    <row r="57" spans="2:10" x14ac:dyDescent="0.25">
      <c r="B57" s="45"/>
      <c r="C57" s="45"/>
      <c r="D57" s="45"/>
      <c r="E57" s="45"/>
      <c r="F57" s="45"/>
      <c r="G57" s="45"/>
      <c r="H57" s="45"/>
      <c r="I57" s="45"/>
    </row>
    <row r="58" spans="2:10" x14ac:dyDescent="0.25">
      <c r="B58" s="92" t="s">
        <v>82</v>
      </c>
      <c r="C58" s="92"/>
      <c r="D58" s="45"/>
      <c r="E58" s="92" t="s">
        <v>83</v>
      </c>
      <c r="F58" s="92"/>
      <c r="G58" s="45"/>
      <c r="H58" s="92" t="s">
        <v>84</v>
      </c>
      <c r="I58" s="92"/>
    </row>
    <row r="59" spans="2:10" x14ac:dyDescent="0.25">
      <c r="B59" s="41">
        <f>C36</f>
        <v>32660</v>
      </c>
      <c r="C59" s="45">
        <f>((B15+B14+0.2*B11)/(0.8*B11))*(0.8*(C11+E11))</f>
        <v>234825.40000000002</v>
      </c>
      <c r="D59" s="45"/>
      <c r="E59" s="41"/>
      <c r="F59" s="45">
        <f>B62</f>
        <v>90000</v>
      </c>
      <c r="G59" s="45"/>
      <c r="H59" s="41"/>
      <c r="I59" s="45">
        <f>B61</f>
        <v>9000</v>
      </c>
    </row>
    <row r="60" spans="2:10" x14ac:dyDescent="0.25">
      <c r="B60" s="46">
        <f>45000</f>
        <v>45000</v>
      </c>
      <c r="C60" s="45"/>
      <c r="D60" s="45"/>
      <c r="E60" s="46"/>
      <c r="F60" s="45">
        <f>8000</f>
        <v>8000</v>
      </c>
      <c r="G60" s="45"/>
      <c r="H60" s="46"/>
      <c r="I60" s="45">
        <f>H44</f>
        <v>1000</v>
      </c>
    </row>
    <row r="61" spans="2:10" x14ac:dyDescent="0.25">
      <c r="B61" s="46">
        <f>0.9*10000</f>
        <v>9000</v>
      </c>
      <c r="C61" s="53">
        <f>C59-SUM(B59:B62)</f>
        <v>58165.400000000023</v>
      </c>
      <c r="D61" s="53" t="s">
        <v>97</v>
      </c>
      <c r="E61" s="46"/>
      <c r="F61" s="45"/>
      <c r="G61" s="45"/>
      <c r="H61" s="46"/>
      <c r="I61" s="45"/>
    </row>
    <row r="62" spans="2:10" x14ac:dyDescent="0.25">
      <c r="B62" s="46">
        <f>90000</f>
        <v>90000</v>
      </c>
      <c r="C62" s="45"/>
      <c r="D62" s="45"/>
      <c r="E62" s="46"/>
      <c r="F62" s="45"/>
      <c r="G62" s="45"/>
      <c r="H62" s="46"/>
      <c r="I62" s="45"/>
    </row>
    <row r="63" spans="2:10" x14ac:dyDescent="0.25">
      <c r="B63" s="45"/>
      <c r="C63" s="45"/>
      <c r="D63" s="45"/>
      <c r="E63" s="45"/>
      <c r="F63" s="45"/>
      <c r="G63" s="45"/>
      <c r="H63" s="45"/>
      <c r="I63" s="45"/>
    </row>
    <row r="64" spans="2:10" x14ac:dyDescent="0.25">
      <c r="B64" s="45"/>
      <c r="C64" s="45"/>
      <c r="D64" s="45"/>
      <c r="E64" s="45"/>
      <c r="F64" s="45"/>
      <c r="G64" s="45"/>
      <c r="H64" s="45"/>
      <c r="I64" s="45"/>
    </row>
    <row r="65" spans="2:9" x14ac:dyDescent="0.25">
      <c r="B65" s="92" t="s">
        <v>85</v>
      </c>
      <c r="C65" s="92"/>
      <c r="D65" s="45"/>
      <c r="E65" s="93"/>
      <c r="F65" s="93"/>
      <c r="G65" s="45"/>
      <c r="H65" s="45"/>
      <c r="I65" s="45"/>
    </row>
    <row r="66" spans="2:9" x14ac:dyDescent="0.25">
      <c r="B66" s="41"/>
      <c r="C66" s="45">
        <f>B59</f>
        <v>32660</v>
      </c>
      <c r="D66" s="45"/>
      <c r="E66" s="45"/>
      <c r="F66" s="45"/>
      <c r="G66" s="45"/>
      <c r="H66" s="45"/>
      <c r="I66" s="45"/>
    </row>
    <row r="67" spans="2:9" x14ac:dyDescent="0.25">
      <c r="B67" s="46"/>
      <c r="C67" s="45"/>
      <c r="D67" s="45"/>
      <c r="E67" s="45"/>
      <c r="F67" s="45"/>
      <c r="G67" s="45"/>
      <c r="H67" s="45"/>
      <c r="I67" s="45"/>
    </row>
    <row r="68" spans="2:9" x14ac:dyDescent="0.25">
      <c r="B68" s="46"/>
      <c r="C68" s="45"/>
      <c r="D68" s="45"/>
      <c r="E68" s="45"/>
      <c r="F68" s="45"/>
      <c r="G68" s="45"/>
      <c r="H68" s="45"/>
      <c r="I68" s="45"/>
    </row>
    <row r="69" spans="2:9" x14ac:dyDescent="0.25">
      <c r="B69" s="46"/>
      <c r="C69" s="45"/>
      <c r="D69" s="45"/>
      <c r="E69" s="45"/>
      <c r="F69" s="45"/>
      <c r="G69" s="45"/>
      <c r="H69" s="45"/>
      <c r="I69" s="45"/>
    </row>
    <row r="70" spans="2:9" x14ac:dyDescent="0.25">
      <c r="B70" s="46"/>
      <c r="C70" s="45"/>
      <c r="D70" s="45"/>
      <c r="E70" s="45"/>
      <c r="F70" s="45"/>
      <c r="G70" s="45"/>
      <c r="H70" s="45"/>
      <c r="I70" s="45"/>
    </row>
    <row r="71" spans="2:9" x14ac:dyDescent="0.25">
      <c r="B71" s="45"/>
      <c r="C71" s="45"/>
      <c r="D71" s="45"/>
      <c r="E71" s="45"/>
      <c r="F71" s="45"/>
      <c r="G71" s="45"/>
      <c r="H71" s="45"/>
      <c r="I71" s="45"/>
    </row>
    <row r="72" spans="2:9" x14ac:dyDescent="0.25">
      <c r="B72" s="44"/>
      <c r="C72" s="44"/>
      <c r="D72" s="44"/>
      <c r="E72" s="44"/>
      <c r="F72" s="44"/>
      <c r="G72" s="44"/>
      <c r="H72" s="44"/>
      <c r="I72" s="44"/>
    </row>
    <row r="73" spans="2:9" x14ac:dyDescent="0.25">
      <c r="B73" s="44"/>
      <c r="C73" s="44"/>
      <c r="D73" s="44"/>
      <c r="E73" s="44"/>
      <c r="F73" s="44"/>
      <c r="G73" s="44"/>
      <c r="H73" s="44"/>
      <c r="I73" s="44"/>
    </row>
  </sheetData>
  <mergeCells count="20">
    <mergeCell ref="B58:C58"/>
    <mergeCell ref="E58:F58"/>
    <mergeCell ref="H58:I58"/>
    <mergeCell ref="B65:C65"/>
    <mergeCell ref="E65:F65"/>
    <mergeCell ref="B51:C51"/>
    <mergeCell ref="E51:F51"/>
    <mergeCell ref="H51:I51"/>
    <mergeCell ref="B9:C9"/>
    <mergeCell ref="D9:E9"/>
    <mergeCell ref="B34:C34"/>
    <mergeCell ref="E34:F34"/>
    <mergeCell ref="H34:I34"/>
    <mergeCell ref="B43:C43"/>
    <mergeCell ref="H43:I43"/>
    <mergeCell ref="A11:A12"/>
    <mergeCell ref="B11:B12"/>
    <mergeCell ref="C11:C12"/>
    <mergeCell ref="D11:D12"/>
    <mergeCell ref="E11:E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6E341-6D6F-47D6-AFF8-370F65BB6D32}">
  <dimension ref="A1:K50"/>
  <sheetViews>
    <sheetView workbookViewId="0">
      <selection activeCell="K4" sqref="K4"/>
    </sheetView>
  </sheetViews>
  <sheetFormatPr defaultRowHeight="15" x14ac:dyDescent="0.25"/>
  <cols>
    <col min="1" max="16384" width="8.88671875" style="8"/>
  </cols>
  <sheetData>
    <row r="1" spans="1:11" ht="15.6" x14ac:dyDescent="0.3">
      <c r="A1" s="9" t="s">
        <v>101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3" spans="1:11" x14ac:dyDescent="0.25">
      <c r="A3" s="10" t="s">
        <v>102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5">
      <c r="A4" s="10" t="s">
        <v>103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ht="15.6" thickBot="1" x14ac:dyDescent="0.3"/>
    <row r="6" spans="1:11" x14ac:dyDescent="0.25">
      <c r="A6" s="61"/>
      <c r="B6" s="62"/>
      <c r="C6" s="62"/>
      <c r="D6" s="62"/>
      <c r="E6" s="62"/>
      <c r="F6" s="62"/>
      <c r="G6" s="62"/>
      <c r="H6" s="62"/>
      <c r="I6" s="62"/>
      <c r="J6" s="62"/>
      <c r="K6" s="63"/>
    </row>
    <row r="7" spans="1:11" x14ac:dyDescent="0.25">
      <c r="A7" s="64"/>
      <c r="B7" s="65"/>
      <c r="C7" s="65"/>
      <c r="D7" s="65"/>
      <c r="E7" s="65"/>
      <c r="F7" s="65"/>
      <c r="G7" s="65"/>
      <c r="H7" s="65"/>
      <c r="I7" s="65"/>
      <c r="J7" s="65"/>
      <c r="K7" s="66"/>
    </row>
    <row r="8" spans="1:11" x14ac:dyDescent="0.25">
      <c r="A8" s="64"/>
      <c r="B8" s="65"/>
      <c r="C8" s="65"/>
      <c r="D8" s="65"/>
      <c r="E8" s="65"/>
      <c r="F8" s="65"/>
      <c r="G8" s="65"/>
      <c r="H8" s="65"/>
      <c r="I8" s="65"/>
      <c r="J8" s="65"/>
      <c r="K8" s="66"/>
    </row>
    <row r="9" spans="1:11" x14ac:dyDescent="0.25">
      <c r="A9" s="64"/>
      <c r="B9" s="65"/>
      <c r="C9" s="65"/>
      <c r="D9" s="65"/>
      <c r="E9" s="65"/>
      <c r="F9" s="65"/>
      <c r="G9" s="65"/>
      <c r="H9" s="65"/>
      <c r="I9" s="65"/>
      <c r="J9" s="65"/>
      <c r="K9" s="66"/>
    </row>
    <row r="10" spans="1:11" x14ac:dyDescent="0.25">
      <c r="A10" s="64"/>
      <c r="B10" s="65"/>
      <c r="C10" s="65"/>
      <c r="D10" s="65"/>
      <c r="E10" s="65"/>
      <c r="F10" s="65"/>
      <c r="G10" s="65"/>
      <c r="H10" s="65"/>
      <c r="I10" s="65"/>
      <c r="J10" s="65"/>
      <c r="K10" s="66"/>
    </row>
    <row r="11" spans="1:11" x14ac:dyDescent="0.25">
      <c r="A11" s="64"/>
      <c r="B11" s="65"/>
      <c r="C11" s="65"/>
      <c r="D11" s="65"/>
      <c r="E11" s="65"/>
      <c r="F11" s="65"/>
      <c r="G11" s="65"/>
      <c r="H11" s="65"/>
      <c r="I11" s="65"/>
      <c r="J11" s="65"/>
      <c r="K11" s="66"/>
    </row>
    <row r="12" spans="1:11" x14ac:dyDescent="0.25">
      <c r="A12" s="64"/>
      <c r="B12" s="65"/>
      <c r="C12" s="65"/>
      <c r="D12" s="65"/>
      <c r="E12" s="65"/>
      <c r="F12" s="65"/>
      <c r="G12" s="65"/>
      <c r="H12" s="65"/>
      <c r="I12" s="65"/>
      <c r="J12" s="65"/>
      <c r="K12" s="66"/>
    </row>
    <row r="13" spans="1:11" x14ac:dyDescent="0.25">
      <c r="A13" s="64"/>
      <c r="B13" s="65"/>
      <c r="C13" s="65"/>
      <c r="D13" s="65"/>
      <c r="E13" s="65"/>
      <c r="F13" s="65"/>
      <c r="G13" s="65"/>
      <c r="H13" s="65"/>
      <c r="I13" s="65"/>
      <c r="J13" s="65"/>
      <c r="K13" s="66"/>
    </row>
    <row r="14" spans="1:11" x14ac:dyDescent="0.25">
      <c r="A14" s="64"/>
      <c r="B14" s="65"/>
      <c r="C14" s="65"/>
      <c r="D14" s="65"/>
      <c r="E14" s="65"/>
      <c r="F14" s="65"/>
      <c r="G14" s="65"/>
      <c r="H14" s="65"/>
      <c r="I14" s="65"/>
      <c r="J14" s="65"/>
      <c r="K14" s="66"/>
    </row>
    <row r="15" spans="1:11" x14ac:dyDescent="0.25">
      <c r="A15" s="64"/>
      <c r="B15" s="65"/>
      <c r="C15" s="65"/>
      <c r="D15" s="65"/>
      <c r="E15" s="65"/>
      <c r="F15" s="65"/>
      <c r="G15" s="65"/>
      <c r="H15" s="65"/>
      <c r="I15" s="65"/>
      <c r="J15" s="65"/>
      <c r="K15" s="66"/>
    </row>
    <row r="16" spans="1:11" x14ac:dyDescent="0.25">
      <c r="A16" s="64"/>
      <c r="B16" s="65"/>
      <c r="C16" s="65"/>
      <c r="D16" s="65"/>
      <c r="E16" s="65"/>
      <c r="F16" s="65"/>
      <c r="G16" s="65"/>
      <c r="H16" s="65"/>
      <c r="I16" s="65"/>
      <c r="J16" s="65"/>
      <c r="K16" s="66"/>
    </row>
    <row r="17" spans="1:11" x14ac:dyDescent="0.25">
      <c r="A17" s="64"/>
      <c r="B17" s="65"/>
      <c r="C17" s="65"/>
      <c r="D17" s="65"/>
      <c r="E17" s="65"/>
      <c r="F17" s="65"/>
      <c r="G17" s="65"/>
      <c r="H17" s="65"/>
      <c r="I17" s="65"/>
      <c r="J17" s="65"/>
      <c r="K17" s="66"/>
    </row>
    <row r="18" spans="1:11" x14ac:dyDescent="0.25">
      <c r="A18" s="64"/>
      <c r="B18" s="65"/>
      <c r="C18" s="65"/>
      <c r="D18" s="65"/>
      <c r="E18" s="65"/>
      <c r="F18" s="65"/>
      <c r="G18" s="65"/>
      <c r="H18" s="65"/>
      <c r="I18" s="65"/>
      <c r="J18" s="65"/>
      <c r="K18" s="66"/>
    </row>
    <row r="19" spans="1:11" x14ac:dyDescent="0.25">
      <c r="A19" s="64"/>
      <c r="B19" s="65"/>
      <c r="C19" s="65"/>
      <c r="D19" s="65"/>
      <c r="E19" s="65"/>
      <c r="F19" s="65"/>
      <c r="G19" s="65"/>
      <c r="H19" s="65"/>
      <c r="I19" s="65"/>
      <c r="J19" s="65"/>
      <c r="K19" s="66"/>
    </row>
    <row r="20" spans="1:11" x14ac:dyDescent="0.25">
      <c r="A20" s="64"/>
      <c r="B20" s="65"/>
      <c r="C20" s="65"/>
      <c r="D20" s="65"/>
      <c r="E20" s="65"/>
      <c r="F20" s="65"/>
      <c r="G20" s="65"/>
      <c r="H20" s="65"/>
      <c r="I20" s="65"/>
      <c r="J20" s="65"/>
      <c r="K20" s="66"/>
    </row>
    <row r="21" spans="1:11" x14ac:dyDescent="0.25">
      <c r="A21" s="64"/>
      <c r="B21" s="65"/>
      <c r="C21" s="65"/>
      <c r="D21" s="65"/>
      <c r="E21" s="65"/>
      <c r="F21" s="65"/>
      <c r="G21" s="65"/>
      <c r="H21" s="65"/>
      <c r="I21" s="65"/>
      <c r="J21" s="65"/>
      <c r="K21" s="66"/>
    </row>
    <row r="22" spans="1:11" x14ac:dyDescent="0.25">
      <c r="A22" s="64"/>
      <c r="B22" s="65"/>
      <c r="C22" s="65"/>
      <c r="D22" s="65"/>
      <c r="E22" s="65"/>
      <c r="F22" s="65"/>
      <c r="G22" s="65"/>
      <c r="H22" s="65"/>
      <c r="I22" s="65"/>
      <c r="J22" s="65"/>
      <c r="K22" s="66"/>
    </row>
    <row r="23" spans="1:11" x14ac:dyDescent="0.25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6"/>
    </row>
    <row r="24" spans="1:11" x14ac:dyDescent="0.25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6"/>
    </row>
    <row r="25" spans="1:11" x14ac:dyDescent="0.25">
      <c r="A25" s="64"/>
      <c r="B25" s="65"/>
      <c r="C25" s="65"/>
      <c r="D25" s="65"/>
      <c r="E25" s="65"/>
      <c r="F25" s="65"/>
      <c r="G25" s="65"/>
      <c r="H25" s="65"/>
      <c r="I25" s="65"/>
      <c r="J25" s="65"/>
      <c r="K25" s="66"/>
    </row>
    <row r="26" spans="1:11" x14ac:dyDescent="0.25">
      <c r="A26" s="64"/>
      <c r="B26" s="65"/>
      <c r="C26" s="65"/>
      <c r="D26" s="65"/>
      <c r="E26" s="65"/>
      <c r="F26" s="65"/>
      <c r="G26" s="65"/>
      <c r="H26" s="65"/>
      <c r="I26" s="65"/>
      <c r="J26" s="65"/>
      <c r="K26" s="66"/>
    </row>
    <row r="27" spans="1:11" x14ac:dyDescent="0.25">
      <c r="A27" s="64"/>
      <c r="B27" s="65"/>
      <c r="C27" s="65"/>
      <c r="D27" s="65"/>
      <c r="E27" s="65"/>
      <c r="F27" s="65"/>
      <c r="G27" s="65"/>
      <c r="H27" s="65"/>
      <c r="I27" s="65"/>
      <c r="J27" s="65"/>
      <c r="K27" s="66"/>
    </row>
    <row r="28" spans="1:11" x14ac:dyDescent="0.25">
      <c r="A28" s="64"/>
      <c r="B28" s="65"/>
      <c r="C28" s="65"/>
      <c r="D28" s="65"/>
      <c r="E28" s="65"/>
      <c r="F28" s="65"/>
      <c r="G28" s="65"/>
      <c r="H28" s="65"/>
      <c r="I28" s="65"/>
      <c r="J28" s="65"/>
      <c r="K28" s="66"/>
    </row>
    <row r="29" spans="1:11" x14ac:dyDescent="0.25">
      <c r="A29" s="64"/>
      <c r="B29" s="65"/>
      <c r="C29" s="65"/>
      <c r="D29" s="65"/>
      <c r="E29" s="65"/>
      <c r="F29" s="65"/>
      <c r="G29" s="65"/>
      <c r="H29" s="65"/>
      <c r="I29" s="65"/>
      <c r="J29" s="65"/>
      <c r="K29" s="66"/>
    </row>
    <row r="30" spans="1:11" x14ac:dyDescent="0.25">
      <c r="A30" s="64"/>
      <c r="B30" s="65"/>
      <c r="C30" s="65"/>
      <c r="D30" s="65"/>
      <c r="E30" s="65"/>
      <c r="F30" s="65"/>
      <c r="G30" s="65"/>
      <c r="H30" s="65"/>
      <c r="I30" s="65"/>
      <c r="J30" s="65"/>
      <c r="K30" s="66"/>
    </row>
    <row r="31" spans="1:11" x14ac:dyDescent="0.25">
      <c r="A31" s="64"/>
      <c r="B31" s="65"/>
      <c r="C31" s="65"/>
      <c r="D31" s="65"/>
      <c r="E31" s="65"/>
      <c r="F31" s="65"/>
      <c r="G31" s="65"/>
      <c r="H31" s="65"/>
      <c r="I31" s="65"/>
      <c r="J31" s="65"/>
      <c r="K31" s="66"/>
    </row>
    <row r="32" spans="1:11" x14ac:dyDescent="0.25">
      <c r="A32" s="64"/>
      <c r="B32" s="65"/>
      <c r="C32" s="65"/>
      <c r="D32" s="65"/>
      <c r="E32" s="65"/>
      <c r="F32" s="65"/>
      <c r="G32" s="65"/>
      <c r="H32" s="65"/>
      <c r="I32" s="65"/>
      <c r="J32" s="65"/>
      <c r="K32" s="66"/>
    </row>
    <row r="33" spans="1:11" x14ac:dyDescent="0.25">
      <c r="A33" s="64"/>
      <c r="B33" s="65"/>
      <c r="C33" s="65"/>
      <c r="D33" s="65"/>
      <c r="E33" s="65"/>
      <c r="F33" s="65"/>
      <c r="G33" s="65"/>
      <c r="H33" s="65"/>
      <c r="I33" s="65"/>
      <c r="J33" s="65"/>
      <c r="K33" s="66"/>
    </row>
    <row r="34" spans="1:11" x14ac:dyDescent="0.25">
      <c r="A34" s="64"/>
      <c r="B34" s="65"/>
      <c r="C34" s="65"/>
      <c r="D34" s="65"/>
      <c r="E34" s="65"/>
      <c r="F34" s="65"/>
      <c r="G34" s="65"/>
      <c r="H34" s="65"/>
      <c r="I34" s="65"/>
      <c r="J34" s="65"/>
      <c r="K34" s="66"/>
    </row>
    <row r="35" spans="1:11" x14ac:dyDescent="0.25">
      <c r="A35" s="64"/>
      <c r="B35" s="65"/>
      <c r="C35" s="65"/>
      <c r="D35" s="65"/>
      <c r="E35" s="65"/>
      <c r="F35" s="65"/>
      <c r="G35" s="65"/>
      <c r="H35" s="65"/>
      <c r="I35" s="65"/>
      <c r="J35" s="65"/>
      <c r="K35" s="66"/>
    </row>
    <row r="36" spans="1:11" x14ac:dyDescent="0.25">
      <c r="A36" s="64"/>
      <c r="B36" s="65"/>
      <c r="C36" s="65"/>
      <c r="D36" s="65"/>
      <c r="E36" s="65"/>
      <c r="F36" s="65"/>
      <c r="G36" s="65"/>
      <c r="H36" s="65"/>
      <c r="I36" s="65"/>
      <c r="J36" s="65"/>
      <c r="K36" s="66"/>
    </row>
    <row r="37" spans="1:11" x14ac:dyDescent="0.25">
      <c r="A37" s="64"/>
      <c r="B37" s="65"/>
      <c r="C37" s="65"/>
      <c r="D37" s="65"/>
      <c r="E37" s="65"/>
      <c r="F37" s="65"/>
      <c r="G37" s="65"/>
      <c r="H37" s="65"/>
      <c r="I37" s="65"/>
      <c r="J37" s="65"/>
      <c r="K37" s="66"/>
    </row>
    <row r="38" spans="1:11" x14ac:dyDescent="0.25">
      <c r="A38" s="64"/>
      <c r="B38" s="65"/>
      <c r="C38" s="65"/>
      <c r="D38" s="65"/>
      <c r="E38" s="65"/>
      <c r="F38" s="65"/>
      <c r="G38" s="65"/>
      <c r="H38" s="65"/>
      <c r="I38" s="65"/>
      <c r="J38" s="65"/>
      <c r="K38" s="66"/>
    </row>
    <row r="39" spans="1:11" x14ac:dyDescent="0.25">
      <c r="A39" s="64"/>
      <c r="B39" s="65"/>
      <c r="C39" s="65"/>
      <c r="D39" s="65"/>
      <c r="E39" s="65"/>
      <c r="F39" s="65"/>
      <c r="G39" s="65"/>
      <c r="H39" s="65"/>
      <c r="I39" s="65"/>
      <c r="J39" s="65"/>
      <c r="K39" s="66"/>
    </row>
    <row r="40" spans="1:11" x14ac:dyDescent="0.25">
      <c r="A40" s="64"/>
      <c r="B40" s="65"/>
      <c r="C40" s="65"/>
      <c r="D40" s="65"/>
      <c r="E40" s="65"/>
      <c r="F40" s="65"/>
      <c r="G40" s="65"/>
      <c r="H40" s="65"/>
      <c r="I40" s="65"/>
      <c r="J40" s="65"/>
      <c r="K40" s="66"/>
    </row>
    <row r="41" spans="1:11" x14ac:dyDescent="0.25">
      <c r="A41" s="64"/>
      <c r="B41" s="65"/>
      <c r="C41" s="65"/>
      <c r="D41" s="65"/>
      <c r="E41" s="65"/>
      <c r="F41" s="65"/>
      <c r="G41" s="65"/>
      <c r="H41" s="65"/>
      <c r="I41" s="65"/>
      <c r="J41" s="65"/>
      <c r="K41" s="66"/>
    </row>
    <row r="42" spans="1:11" x14ac:dyDescent="0.25">
      <c r="A42" s="64"/>
      <c r="B42" s="65"/>
      <c r="C42" s="65"/>
      <c r="D42" s="65"/>
      <c r="E42" s="65"/>
      <c r="F42" s="65"/>
      <c r="G42" s="65"/>
      <c r="H42" s="65"/>
      <c r="I42" s="65"/>
      <c r="J42" s="65"/>
      <c r="K42" s="66"/>
    </row>
    <row r="43" spans="1:11" x14ac:dyDescent="0.25">
      <c r="A43" s="64"/>
      <c r="B43" s="65"/>
      <c r="C43" s="65"/>
      <c r="D43" s="65"/>
      <c r="E43" s="65"/>
      <c r="F43" s="65"/>
      <c r="G43" s="65"/>
      <c r="H43" s="65"/>
      <c r="I43" s="65"/>
      <c r="J43" s="65"/>
      <c r="K43" s="66"/>
    </row>
    <row r="44" spans="1:11" x14ac:dyDescent="0.25">
      <c r="A44" s="64"/>
      <c r="B44" s="65"/>
      <c r="C44" s="65"/>
      <c r="D44" s="65"/>
      <c r="E44" s="65"/>
      <c r="F44" s="65"/>
      <c r="G44" s="65"/>
      <c r="H44" s="65"/>
      <c r="I44" s="65"/>
      <c r="J44" s="65"/>
      <c r="K44" s="66"/>
    </row>
    <row r="45" spans="1:11" x14ac:dyDescent="0.25">
      <c r="A45" s="64"/>
      <c r="B45" s="65"/>
      <c r="C45" s="65"/>
      <c r="D45" s="65"/>
      <c r="E45" s="65"/>
      <c r="F45" s="65"/>
      <c r="G45" s="65"/>
      <c r="H45" s="65"/>
      <c r="I45" s="65"/>
      <c r="J45" s="65"/>
      <c r="K45" s="66"/>
    </row>
    <row r="46" spans="1:11" x14ac:dyDescent="0.25">
      <c r="A46" s="64"/>
      <c r="B46" s="65"/>
      <c r="C46" s="65"/>
      <c r="D46" s="65"/>
      <c r="E46" s="65"/>
      <c r="F46" s="65"/>
      <c r="G46" s="65"/>
      <c r="H46" s="65"/>
      <c r="I46" s="65"/>
      <c r="J46" s="65"/>
      <c r="K46" s="66"/>
    </row>
    <row r="47" spans="1:11" x14ac:dyDescent="0.25">
      <c r="A47" s="64"/>
      <c r="B47" s="65"/>
      <c r="C47" s="65"/>
      <c r="D47" s="65"/>
      <c r="E47" s="65"/>
      <c r="F47" s="65"/>
      <c r="G47" s="65"/>
      <c r="H47" s="65"/>
      <c r="I47" s="65"/>
      <c r="J47" s="65"/>
      <c r="K47" s="66"/>
    </row>
    <row r="48" spans="1:11" x14ac:dyDescent="0.25">
      <c r="A48" s="64"/>
      <c r="B48" s="65"/>
      <c r="C48" s="65"/>
      <c r="D48" s="65"/>
      <c r="E48" s="65"/>
      <c r="F48" s="65"/>
      <c r="G48" s="65"/>
      <c r="H48" s="65"/>
      <c r="I48" s="65"/>
      <c r="J48" s="65"/>
      <c r="K48" s="66"/>
    </row>
    <row r="49" spans="1:11" x14ac:dyDescent="0.25">
      <c r="A49" s="64"/>
      <c r="B49" s="65"/>
      <c r="C49" s="65"/>
      <c r="D49" s="65"/>
      <c r="E49" s="65"/>
      <c r="F49" s="65"/>
      <c r="G49" s="65"/>
      <c r="H49" s="65"/>
      <c r="I49" s="65"/>
      <c r="J49" s="65"/>
      <c r="K49" s="66"/>
    </row>
    <row r="50" spans="1:11" ht="15.6" thickBot="1" x14ac:dyDescent="0.3">
      <c r="A50" s="67"/>
      <c r="B50" s="68"/>
      <c r="C50" s="68"/>
      <c r="D50" s="68"/>
      <c r="E50" s="68"/>
      <c r="F50" s="68"/>
      <c r="G50" s="68"/>
      <c r="H50" s="68"/>
      <c r="I50" s="68"/>
      <c r="J50" s="68"/>
      <c r="K50" s="6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17295-F61A-4682-9E5E-1FC242D39A8C}">
  <dimension ref="A1:K6"/>
  <sheetViews>
    <sheetView workbookViewId="0">
      <selection activeCell="C7" sqref="C7"/>
    </sheetView>
  </sheetViews>
  <sheetFormatPr defaultRowHeight="15" x14ac:dyDescent="0.25"/>
  <cols>
    <col min="1" max="16384" width="8.88671875" style="8"/>
  </cols>
  <sheetData>
    <row r="1" spans="1:11" ht="15.6" x14ac:dyDescent="0.3">
      <c r="A1" s="9" t="s">
        <v>101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3" spans="1:11" x14ac:dyDescent="0.25">
      <c r="A3" s="10" t="s">
        <v>102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5">
      <c r="A4" s="10" t="s">
        <v>103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6" spans="1:11" ht="15.6" x14ac:dyDescent="0.3">
      <c r="C6" s="56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AB2B2-008A-47FD-B90F-969C1FE8A7CB}">
  <dimension ref="A1:K50"/>
  <sheetViews>
    <sheetView workbookViewId="0">
      <selection activeCellId="1" sqref="A5:J5 A1:K4"/>
    </sheetView>
  </sheetViews>
  <sheetFormatPr defaultRowHeight="15" x14ac:dyDescent="0.25"/>
  <cols>
    <col min="1" max="16384" width="8.88671875" style="8"/>
  </cols>
  <sheetData>
    <row r="1" spans="1:11" ht="15.6" x14ac:dyDescent="0.3">
      <c r="A1" s="9" t="s">
        <v>105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3" spans="1:11" x14ac:dyDescent="0.25">
      <c r="A3" s="10" t="s">
        <v>106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5">
      <c r="A4" s="10" t="s">
        <v>107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5">
      <c r="A5" s="10" t="s">
        <v>108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ht="15.6" thickBot="1" x14ac:dyDescent="0.3"/>
    <row r="7" spans="1:11" x14ac:dyDescent="0.25">
      <c r="A7" s="61"/>
      <c r="B7" s="62"/>
      <c r="C7" s="62"/>
      <c r="D7" s="62"/>
      <c r="E7" s="62"/>
      <c r="F7" s="62"/>
      <c r="G7" s="62"/>
      <c r="H7" s="62"/>
      <c r="I7" s="62"/>
      <c r="J7" s="62"/>
      <c r="K7" s="63"/>
    </row>
    <row r="8" spans="1:11" x14ac:dyDescent="0.25">
      <c r="A8" s="64"/>
      <c r="B8" s="65"/>
      <c r="C8" s="65"/>
      <c r="D8" s="65"/>
      <c r="E8" s="65"/>
      <c r="F8" s="65"/>
      <c r="G8" s="65"/>
      <c r="H8" s="65"/>
      <c r="I8" s="65"/>
      <c r="J8" s="65"/>
      <c r="K8" s="66"/>
    </row>
    <row r="9" spans="1:11" x14ac:dyDescent="0.25">
      <c r="A9" s="64"/>
      <c r="B9" s="65"/>
      <c r="C9" s="65"/>
      <c r="D9" s="65"/>
      <c r="E9" s="65"/>
      <c r="F9" s="65"/>
      <c r="G9" s="65"/>
      <c r="H9" s="65"/>
      <c r="I9" s="65"/>
      <c r="J9" s="65"/>
      <c r="K9" s="66"/>
    </row>
    <row r="10" spans="1:11" x14ac:dyDescent="0.25">
      <c r="A10" s="64"/>
      <c r="B10" s="65"/>
      <c r="C10" s="65"/>
      <c r="D10" s="65"/>
      <c r="E10" s="65"/>
      <c r="F10" s="65"/>
      <c r="G10" s="65"/>
      <c r="H10" s="65"/>
      <c r="I10" s="65"/>
      <c r="J10" s="65"/>
      <c r="K10" s="66"/>
    </row>
    <row r="11" spans="1:11" x14ac:dyDescent="0.25">
      <c r="A11" s="64"/>
      <c r="B11" s="65"/>
      <c r="C11" s="65"/>
      <c r="D11" s="65"/>
      <c r="E11" s="65"/>
      <c r="F11" s="65"/>
      <c r="G11" s="65"/>
      <c r="H11" s="65"/>
      <c r="I11" s="65"/>
      <c r="J11" s="65"/>
      <c r="K11" s="66"/>
    </row>
    <row r="12" spans="1:11" x14ac:dyDescent="0.25">
      <c r="A12" s="64"/>
      <c r="B12" s="65"/>
      <c r="C12" s="65"/>
      <c r="D12" s="65"/>
      <c r="E12" s="65"/>
      <c r="F12" s="65"/>
      <c r="G12" s="65"/>
      <c r="H12" s="65"/>
      <c r="I12" s="65"/>
      <c r="J12" s="65"/>
      <c r="K12" s="66"/>
    </row>
    <row r="13" spans="1:11" x14ac:dyDescent="0.25">
      <c r="A13" s="64"/>
      <c r="B13" s="65"/>
      <c r="C13" s="65"/>
      <c r="D13" s="65"/>
      <c r="E13" s="65"/>
      <c r="F13" s="65"/>
      <c r="G13" s="65"/>
      <c r="H13" s="65"/>
      <c r="I13" s="65"/>
      <c r="J13" s="65"/>
      <c r="K13" s="66"/>
    </row>
    <row r="14" spans="1:11" x14ac:dyDescent="0.25">
      <c r="A14" s="64"/>
      <c r="B14" s="65"/>
      <c r="C14" s="65"/>
      <c r="D14" s="65"/>
      <c r="E14" s="65"/>
      <c r="F14" s="65"/>
      <c r="G14" s="65"/>
      <c r="H14" s="65"/>
      <c r="I14" s="65"/>
      <c r="J14" s="65"/>
      <c r="K14" s="66"/>
    </row>
    <row r="15" spans="1:11" x14ac:dyDescent="0.25">
      <c r="A15" s="64"/>
      <c r="B15" s="65"/>
      <c r="C15" s="65"/>
      <c r="D15" s="65"/>
      <c r="E15" s="65"/>
      <c r="F15" s="65"/>
      <c r="G15" s="65"/>
      <c r="H15" s="65"/>
      <c r="I15" s="65"/>
      <c r="J15" s="65"/>
      <c r="K15" s="66"/>
    </row>
    <row r="16" spans="1:11" x14ac:dyDescent="0.25">
      <c r="A16" s="64"/>
      <c r="B16" s="65"/>
      <c r="C16" s="65"/>
      <c r="D16" s="65"/>
      <c r="E16" s="65"/>
      <c r="F16" s="65"/>
      <c r="G16" s="65"/>
      <c r="H16" s="65"/>
      <c r="I16" s="65"/>
      <c r="J16" s="65"/>
      <c r="K16" s="66"/>
    </row>
    <row r="17" spans="1:11" x14ac:dyDescent="0.25">
      <c r="A17" s="64"/>
      <c r="B17" s="65"/>
      <c r="C17" s="65"/>
      <c r="D17" s="65"/>
      <c r="E17" s="65"/>
      <c r="F17" s="65"/>
      <c r="G17" s="65"/>
      <c r="H17" s="65"/>
      <c r="I17" s="65"/>
      <c r="J17" s="65"/>
      <c r="K17" s="66"/>
    </row>
    <row r="18" spans="1:11" x14ac:dyDescent="0.25">
      <c r="A18" s="64"/>
      <c r="B18" s="65"/>
      <c r="C18" s="65"/>
      <c r="D18" s="65"/>
      <c r="E18" s="65"/>
      <c r="F18" s="65"/>
      <c r="G18" s="65"/>
      <c r="H18" s="65"/>
      <c r="I18" s="65"/>
      <c r="J18" s="65"/>
      <c r="K18" s="66"/>
    </row>
    <row r="19" spans="1:11" x14ac:dyDescent="0.25">
      <c r="A19" s="64"/>
      <c r="B19" s="65"/>
      <c r="C19" s="65"/>
      <c r="D19" s="65"/>
      <c r="E19" s="65"/>
      <c r="F19" s="65"/>
      <c r="G19" s="65"/>
      <c r="H19" s="65"/>
      <c r="I19" s="65"/>
      <c r="J19" s="65"/>
      <c r="K19" s="66"/>
    </row>
    <row r="20" spans="1:11" x14ac:dyDescent="0.25">
      <c r="A20" s="64"/>
      <c r="B20" s="65"/>
      <c r="C20" s="65"/>
      <c r="D20" s="65"/>
      <c r="E20" s="65"/>
      <c r="F20" s="65"/>
      <c r="G20" s="65"/>
      <c r="H20" s="65"/>
      <c r="I20" s="65"/>
      <c r="J20" s="65"/>
      <c r="K20" s="66"/>
    </row>
    <row r="21" spans="1:11" x14ac:dyDescent="0.25">
      <c r="A21" s="64"/>
      <c r="B21" s="65"/>
      <c r="C21" s="65"/>
      <c r="D21" s="65"/>
      <c r="E21" s="65"/>
      <c r="F21" s="65"/>
      <c r="G21" s="65"/>
      <c r="H21" s="65"/>
      <c r="I21" s="65"/>
      <c r="J21" s="65"/>
      <c r="K21" s="66"/>
    </row>
    <row r="22" spans="1:11" x14ac:dyDescent="0.25">
      <c r="A22" s="64"/>
      <c r="B22" s="65"/>
      <c r="C22" s="65"/>
      <c r="D22" s="65"/>
      <c r="E22" s="65"/>
      <c r="F22" s="65"/>
      <c r="G22" s="65"/>
      <c r="H22" s="65"/>
      <c r="I22" s="65"/>
      <c r="J22" s="65"/>
      <c r="K22" s="66"/>
    </row>
    <row r="23" spans="1:11" x14ac:dyDescent="0.25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6"/>
    </row>
    <row r="24" spans="1:11" x14ac:dyDescent="0.25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6"/>
    </row>
    <row r="25" spans="1:11" x14ac:dyDescent="0.25">
      <c r="A25" s="64"/>
      <c r="B25" s="65"/>
      <c r="C25" s="65"/>
      <c r="D25" s="65"/>
      <c r="E25" s="65"/>
      <c r="F25" s="65"/>
      <c r="G25" s="65"/>
      <c r="H25" s="65"/>
      <c r="I25" s="65"/>
      <c r="J25" s="65"/>
      <c r="K25" s="66"/>
    </row>
    <row r="26" spans="1:11" x14ac:dyDescent="0.25">
      <c r="A26" s="64"/>
      <c r="B26" s="65"/>
      <c r="C26" s="65"/>
      <c r="D26" s="65"/>
      <c r="E26" s="65"/>
      <c r="F26" s="65"/>
      <c r="G26" s="65"/>
      <c r="H26" s="65"/>
      <c r="I26" s="65"/>
      <c r="J26" s="65"/>
      <c r="K26" s="66"/>
    </row>
    <row r="27" spans="1:11" x14ac:dyDescent="0.25">
      <c r="A27" s="64"/>
      <c r="B27" s="65"/>
      <c r="C27" s="65"/>
      <c r="D27" s="65"/>
      <c r="E27" s="65"/>
      <c r="F27" s="65"/>
      <c r="G27" s="65"/>
      <c r="H27" s="65"/>
      <c r="I27" s="65"/>
      <c r="J27" s="65"/>
      <c r="K27" s="66"/>
    </row>
    <row r="28" spans="1:11" x14ac:dyDescent="0.25">
      <c r="A28" s="64"/>
      <c r="B28" s="65"/>
      <c r="C28" s="65"/>
      <c r="D28" s="65"/>
      <c r="E28" s="65"/>
      <c r="F28" s="65"/>
      <c r="G28" s="65"/>
      <c r="H28" s="65"/>
      <c r="I28" s="65"/>
      <c r="J28" s="65"/>
      <c r="K28" s="66"/>
    </row>
    <row r="29" spans="1:11" x14ac:dyDescent="0.25">
      <c r="A29" s="64"/>
      <c r="B29" s="65"/>
      <c r="C29" s="65"/>
      <c r="D29" s="65"/>
      <c r="E29" s="65"/>
      <c r="F29" s="65"/>
      <c r="G29" s="65"/>
      <c r="H29" s="65"/>
      <c r="I29" s="65"/>
      <c r="J29" s="65"/>
      <c r="K29" s="66"/>
    </row>
    <row r="30" spans="1:11" x14ac:dyDescent="0.25">
      <c r="A30" s="64"/>
      <c r="B30" s="65"/>
      <c r="C30" s="65"/>
      <c r="D30" s="65"/>
      <c r="E30" s="65"/>
      <c r="F30" s="65"/>
      <c r="G30" s="65"/>
      <c r="H30" s="65"/>
      <c r="I30" s="65"/>
      <c r="J30" s="65"/>
      <c r="K30" s="66"/>
    </row>
    <row r="31" spans="1:11" x14ac:dyDescent="0.25">
      <c r="A31" s="64"/>
      <c r="B31" s="65"/>
      <c r="C31" s="65"/>
      <c r="D31" s="65"/>
      <c r="E31" s="65"/>
      <c r="F31" s="65"/>
      <c r="G31" s="65"/>
      <c r="H31" s="65"/>
      <c r="I31" s="65"/>
      <c r="J31" s="65"/>
      <c r="K31" s="66"/>
    </row>
    <row r="32" spans="1:11" x14ac:dyDescent="0.25">
      <c r="A32" s="64"/>
      <c r="B32" s="65"/>
      <c r="C32" s="65"/>
      <c r="D32" s="65"/>
      <c r="E32" s="65"/>
      <c r="F32" s="65"/>
      <c r="G32" s="65"/>
      <c r="H32" s="65"/>
      <c r="I32" s="65"/>
      <c r="J32" s="65"/>
      <c r="K32" s="66"/>
    </row>
    <row r="33" spans="1:11" x14ac:dyDescent="0.25">
      <c r="A33" s="64"/>
      <c r="B33" s="65"/>
      <c r="C33" s="65"/>
      <c r="D33" s="65"/>
      <c r="E33" s="65"/>
      <c r="F33" s="65"/>
      <c r="G33" s="65"/>
      <c r="H33" s="65"/>
      <c r="I33" s="65"/>
      <c r="J33" s="65"/>
      <c r="K33" s="66"/>
    </row>
    <row r="34" spans="1:11" x14ac:dyDescent="0.25">
      <c r="A34" s="64"/>
      <c r="B34" s="65"/>
      <c r="C34" s="65"/>
      <c r="D34" s="65"/>
      <c r="E34" s="65"/>
      <c r="F34" s="65"/>
      <c r="G34" s="65"/>
      <c r="H34" s="65"/>
      <c r="I34" s="65"/>
      <c r="J34" s="65"/>
      <c r="K34" s="66"/>
    </row>
    <row r="35" spans="1:11" x14ac:dyDescent="0.25">
      <c r="A35" s="64"/>
      <c r="B35" s="65"/>
      <c r="C35" s="65"/>
      <c r="D35" s="65"/>
      <c r="E35" s="65"/>
      <c r="F35" s="65"/>
      <c r="G35" s="65"/>
      <c r="H35" s="65"/>
      <c r="I35" s="65"/>
      <c r="J35" s="65"/>
      <c r="K35" s="66"/>
    </row>
    <row r="36" spans="1:11" x14ac:dyDescent="0.25">
      <c r="A36" s="64"/>
      <c r="B36" s="65"/>
      <c r="C36" s="65"/>
      <c r="D36" s="65"/>
      <c r="E36" s="65"/>
      <c r="F36" s="65"/>
      <c r="G36" s="65"/>
      <c r="H36" s="65"/>
      <c r="I36" s="65"/>
      <c r="J36" s="65"/>
      <c r="K36" s="66"/>
    </row>
    <row r="37" spans="1:11" x14ac:dyDescent="0.25">
      <c r="A37" s="64"/>
      <c r="B37" s="65"/>
      <c r="C37" s="65"/>
      <c r="D37" s="65"/>
      <c r="E37" s="65"/>
      <c r="F37" s="65"/>
      <c r="G37" s="65"/>
      <c r="H37" s="65"/>
      <c r="I37" s="65"/>
      <c r="J37" s="65"/>
      <c r="K37" s="66"/>
    </row>
    <row r="38" spans="1:11" x14ac:dyDescent="0.25">
      <c r="A38" s="64"/>
      <c r="B38" s="65"/>
      <c r="C38" s="65"/>
      <c r="D38" s="65"/>
      <c r="E38" s="65"/>
      <c r="F38" s="65"/>
      <c r="G38" s="65"/>
      <c r="H38" s="65"/>
      <c r="I38" s="65"/>
      <c r="J38" s="65"/>
      <c r="K38" s="66"/>
    </row>
    <row r="39" spans="1:11" x14ac:dyDescent="0.25">
      <c r="A39" s="64"/>
      <c r="B39" s="65"/>
      <c r="C39" s="65"/>
      <c r="D39" s="65"/>
      <c r="E39" s="65"/>
      <c r="F39" s="65"/>
      <c r="G39" s="65"/>
      <c r="H39" s="65"/>
      <c r="I39" s="65"/>
      <c r="J39" s="65"/>
      <c r="K39" s="66"/>
    </row>
    <row r="40" spans="1:11" x14ac:dyDescent="0.25">
      <c r="A40" s="64"/>
      <c r="B40" s="65"/>
      <c r="C40" s="65"/>
      <c r="D40" s="65"/>
      <c r="E40" s="65"/>
      <c r="F40" s="65"/>
      <c r="G40" s="65"/>
      <c r="H40" s="65"/>
      <c r="I40" s="65"/>
      <c r="J40" s="65"/>
      <c r="K40" s="66"/>
    </row>
    <row r="41" spans="1:11" x14ac:dyDescent="0.25">
      <c r="A41" s="64"/>
      <c r="B41" s="65"/>
      <c r="C41" s="65"/>
      <c r="D41" s="65"/>
      <c r="E41" s="65"/>
      <c r="F41" s="65"/>
      <c r="G41" s="65"/>
      <c r="H41" s="65"/>
      <c r="I41" s="65"/>
      <c r="J41" s="65"/>
      <c r="K41" s="66"/>
    </row>
    <row r="42" spans="1:11" x14ac:dyDescent="0.25">
      <c r="A42" s="64"/>
      <c r="B42" s="65"/>
      <c r="C42" s="65"/>
      <c r="D42" s="65"/>
      <c r="E42" s="65"/>
      <c r="F42" s="65"/>
      <c r="G42" s="65"/>
      <c r="H42" s="65"/>
      <c r="I42" s="65"/>
      <c r="J42" s="65"/>
      <c r="K42" s="66"/>
    </row>
    <row r="43" spans="1:11" x14ac:dyDescent="0.25">
      <c r="A43" s="64"/>
      <c r="B43" s="65"/>
      <c r="C43" s="65"/>
      <c r="D43" s="65"/>
      <c r="E43" s="65"/>
      <c r="F43" s="65"/>
      <c r="G43" s="65"/>
      <c r="H43" s="65"/>
      <c r="I43" s="65"/>
      <c r="J43" s="65"/>
      <c r="K43" s="66"/>
    </row>
    <row r="44" spans="1:11" x14ac:dyDescent="0.25">
      <c r="A44" s="64"/>
      <c r="B44" s="65"/>
      <c r="C44" s="65"/>
      <c r="D44" s="65"/>
      <c r="E44" s="65"/>
      <c r="F44" s="65"/>
      <c r="G44" s="65"/>
      <c r="H44" s="65"/>
      <c r="I44" s="65"/>
      <c r="J44" s="65"/>
      <c r="K44" s="66"/>
    </row>
    <row r="45" spans="1:11" x14ac:dyDescent="0.25">
      <c r="A45" s="64"/>
      <c r="B45" s="65"/>
      <c r="C45" s="65"/>
      <c r="D45" s="65"/>
      <c r="E45" s="65"/>
      <c r="F45" s="65"/>
      <c r="G45" s="65"/>
      <c r="H45" s="65"/>
      <c r="I45" s="65"/>
      <c r="J45" s="65"/>
      <c r="K45" s="66"/>
    </row>
    <row r="46" spans="1:11" x14ac:dyDescent="0.25">
      <c r="A46" s="64"/>
      <c r="B46" s="65"/>
      <c r="C46" s="65"/>
      <c r="D46" s="65"/>
      <c r="E46" s="65"/>
      <c r="F46" s="65"/>
      <c r="G46" s="65"/>
      <c r="H46" s="65"/>
      <c r="I46" s="65"/>
      <c r="J46" s="65"/>
      <c r="K46" s="66"/>
    </row>
    <row r="47" spans="1:11" x14ac:dyDescent="0.25">
      <c r="A47" s="64"/>
      <c r="B47" s="65"/>
      <c r="C47" s="65"/>
      <c r="D47" s="65"/>
      <c r="E47" s="65"/>
      <c r="F47" s="65"/>
      <c r="G47" s="65"/>
      <c r="H47" s="65"/>
      <c r="I47" s="65"/>
      <c r="J47" s="65"/>
      <c r="K47" s="66"/>
    </row>
    <row r="48" spans="1:11" x14ac:dyDescent="0.25">
      <c r="A48" s="64"/>
      <c r="B48" s="65"/>
      <c r="C48" s="65"/>
      <c r="D48" s="65"/>
      <c r="E48" s="65"/>
      <c r="F48" s="65"/>
      <c r="G48" s="65"/>
      <c r="H48" s="65"/>
      <c r="I48" s="65"/>
      <c r="J48" s="65"/>
      <c r="K48" s="66"/>
    </row>
    <row r="49" spans="1:11" x14ac:dyDescent="0.25">
      <c r="A49" s="64"/>
      <c r="B49" s="65"/>
      <c r="C49" s="65"/>
      <c r="D49" s="65"/>
      <c r="E49" s="65"/>
      <c r="F49" s="65"/>
      <c r="G49" s="65"/>
      <c r="H49" s="65"/>
      <c r="I49" s="65"/>
      <c r="J49" s="65"/>
      <c r="K49" s="66"/>
    </row>
    <row r="50" spans="1:11" ht="15.6" thickBot="1" x14ac:dyDescent="0.3">
      <c r="A50" s="67"/>
      <c r="B50" s="68"/>
      <c r="C50" s="68"/>
      <c r="D50" s="68"/>
      <c r="E50" s="68"/>
      <c r="F50" s="68"/>
      <c r="G50" s="68"/>
      <c r="H50" s="68"/>
      <c r="I50" s="68"/>
      <c r="J50" s="68"/>
      <c r="K50" s="6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9FD0D-EBE2-4D6A-AD86-9EE76FE8274F}">
  <dimension ref="A1:K7"/>
  <sheetViews>
    <sheetView workbookViewId="0">
      <selection activeCell="J13" sqref="J13"/>
    </sheetView>
  </sheetViews>
  <sheetFormatPr defaultRowHeight="15" x14ac:dyDescent="0.25"/>
  <cols>
    <col min="1" max="16384" width="8.88671875" style="8"/>
  </cols>
  <sheetData>
    <row r="1" spans="1:11" ht="15.6" x14ac:dyDescent="0.3">
      <c r="A1" s="9" t="s">
        <v>105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3" spans="1:11" x14ac:dyDescent="0.25">
      <c r="A3" s="10" t="s">
        <v>106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5">
      <c r="A4" s="10" t="s">
        <v>107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5">
      <c r="A5" s="10" t="s">
        <v>108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7" spans="1:11" ht="15.6" x14ac:dyDescent="0.3">
      <c r="C7" s="56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Anagrafica</vt:lpstr>
      <vt:lpstr>Esercizio 1</vt:lpstr>
      <vt:lpstr>Soluzione 1</vt:lpstr>
      <vt:lpstr>Esercizio 2</vt:lpstr>
      <vt:lpstr>Soluzione 2</vt:lpstr>
      <vt:lpstr>Domanda 1</vt:lpstr>
      <vt:lpstr>Risposta 1</vt:lpstr>
      <vt:lpstr>Domanda 2</vt:lpstr>
      <vt:lpstr>Risposta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2023-05-07T11:34:27Z</dcterms:created>
  <dcterms:modified xsi:type="dcterms:W3CDTF">2023-05-11T11:59:58Z</dcterms:modified>
</cp:coreProperties>
</file>