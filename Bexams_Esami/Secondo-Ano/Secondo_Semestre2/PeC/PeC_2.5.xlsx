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uliaderosa/Desktop/Programmazione e controllo/pc past/nuovi/"/>
    </mc:Choice>
  </mc:AlternateContent>
  <xr:revisionPtr revIDLastSave="0" documentId="13_ncr:1_{F3738969-D22D-AE46-8A3E-D8FFA3C38126}" xr6:coauthVersionLast="47" xr6:coauthVersionMax="47" xr10:uidLastSave="{00000000-0000-0000-0000-000000000000}"/>
  <bookViews>
    <workbookView xWindow="0" yWindow="500" windowWidth="31280" windowHeight="18460" activeTab="4" xr2:uid="{00000000-000D-0000-FFFF-FFFF00000000}"/>
  </bookViews>
  <sheets>
    <sheet name="Anagrafica" sheetId="1" r:id="rId1"/>
    <sheet name="Esercizio 1" sheetId="6" r:id="rId2"/>
    <sheet name="Esercizio 1 soluzione" sheetId="13" r:id="rId3"/>
    <sheet name="Esercizio 2" sheetId="10" r:id="rId4"/>
    <sheet name="Esercizio 2 soluzione" sheetId="14" r:id="rId5"/>
    <sheet name="Domanda 1" sheetId="11" r:id="rId6"/>
    <sheet name="Domanda 1 soluzione" sheetId="15" r:id="rId7"/>
    <sheet name="Domanda 2" sheetId="17" r:id="rId8"/>
    <sheet name="Domanda 2 soluzione" sheetId="16" r:id="rId9"/>
  </sheets>
  <definedNames>
    <definedName name="_xlnm.Print_Area" localSheetId="6">'Domanda 1 soluzione'!$A$1:$P$36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8" i="14" l="1"/>
  <c r="B58" i="14" s="1"/>
  <c r="B43" i="10"/>
  <c r="B55" i="10"/>
  <c r="B54" i="10"/>
  <c r="B50" i="10"/>
  <c r="B49" i="10"/>
  <c r="B37" i="10"/>
  <c r="B38" i="10" s="1"/>
  <c r="B35" i="10"/>
  <c r="B36" i="10"/>
  <c r="B34" i="10"/>
  <c r="L34" i="14"/>
  <c r="I36" i="14"/>
  <c r="K36" i="14"/>
  <c r="I37" i="14"/>
  <c r="K37" i="14"/>
  <c r="L37" i="14"/>
  <c r="I38" i="14"/>
  <c r="I40" i="14" s="1"/>
  <c r="K38" i="14"/>
  <c r="L38" i="14"/>
  <c r="K39" i="14"/>
  <c r="K40" i="14" l="1"/>
  <c r="I45" i="14" s="1"/>
  <c r="C59" i="14"/>
  <c r="C58" i="14"/>
  <c r="C54" i="14"/>
  <c r="C53" i="14"/>
  <c r="D9" i="14"/>
  <c r="B16" i="14"/>
  <c r="L36" i="14" s="1"/>
  <c r="L40" i="14" s="1"/>
  <c r="C6" i="14"/>
  <c r="C7" i="14"/>
  <c r="C8" i="14"/>
  <c r="I51" i="14" l="1"/>
  <c r="B36" i="13"/>
  <c r="B39" i="14" l="1"/>
  <c r="B37" i="14"/>
  <c r="L6" i="14"/>
  <c r="L8" i="14"/>
  <c r="K8" i="14"/>
  <c r="I59" i="14" s="1"/>
  <c r="B59" i="14" s="1"/>
  <c r="K7" i="14"/>
  <c r="K6" i="14"/>
  <c r="B16" i="10"/>
  <c r="I53" i="14" l="1"/>
  <c r="B53" i="14" s="1"/>
  <c r="I54" i="14"/>
  <c r="B54" i="14" s="1"/>
  <c r="B38" i="14"/>
  <c r="B36" i="14"/>
  <c r="B40" i="14" l="1"/>
  <c r="B45" i="14"/>
  <c r="D9" i="10"/>
  <c r="E43" i="13"/>
  <c r="E39" i="13" s="1"/>
  <c r="D27" i="13" s="1"/>
  <c r="E40" i="13"/>
  <c r="E34" i="13" s="1"/>
  <c r="G39" i="13"/>
  <c r="H34" i="13"/>
  <c r="E33" i="13"/>
  <c r="D33" i="13"/>
  <c r="E32" i="13"/>
  <c r="D31" i="13"/>
  <c r="D26" i="13"/>
  <c r="D25" i="13"/>
  <c r="B25" i="13"/>
  <c r="B26" i="13" s="1"/>
  <c r="B24" i="13"/>
  <c r="D32" i="13" s="1"/>
  <c r="C10" i="13"/>
  <c r="D24" i="13" s="1"/>
  <c r="D34" i="13" l="1"/>
  <c r="E24" i="13" s="1"/>
  <c r="G24" i="13" s="1"/>
  <c r="H24" i="13"/>
  <c r="G29" i="13" s="1"/>
  <c r="E27" i="13"/>
  <c r="E41" i="13"/>
  <c r="G30" i="13" s="1"/>
  <c r="G32" i="13" l="1"/>
  <c r="H25" i="13"/>
  <c r="C14" i="6" l="1"/>
</calcChain>
</file>

<file path=xl/sharedStrings.xml><?xml version="1.0" encoding="utf-8"?>
<sst xmlns="http://schemas.openxmlformats.org/spreadsheetml/2006/main" count="236" uniqueCount="134">
  <si>
    <t>Nome</t>
  </si>
  <si>
    <t>Cognome</t>
  </si>
  <si>
    <t>Matricola</t>
  </si>
  <si>
    <t>Classe</t>
  </si>
  <si>
    <t>DOMANDA 1 (punti 2)</t>
  </si>
  <si>
    <t>DOMANDA 2 (punti 2)</t>
  </si>
  <si>
    <t>SEA</t>
  </si>
  <si>
    <t>Materiali diretti</t>
  </si>
  <si>
    <t>--</t>
  </si>
  <si>
    <t>MOD</t>
  </si>
  <si>
    <t>CIP</t>
  </si>
  <si>
    <t>Totale costi di commessa</t>
  </si>
  <si>
    <t>Magazzino Materiali Diretti</t>
  </si>
  <si>
    <t>Mag. Prodotti Finiti</t>
  </si>
  <si>
    <t>RF</t>
  </si>
  <si>
    <t>Costo del venduto</t>
  </si>
  <si>
    <t>Ricavi di vendita</t>
  </si>
  <si>
    <t>La Home produce su commessa verande in vetro per balconi. L'azienda impiega un JOCAS a costi normalizzati nel quale i costi Indiretti di produzione vengono imputati a commessa sulla base del costo della manodopera diretta (MOD).</t>
  </si>
  <si>
    <t>SUN</t>
  </si>
  <si>
    <t>Costi di Febbraio</t>
  </si>
  <si>
    <t>Costi di Marzo</t>
  </si>
  <si>
    <t>CAP normal</t>
  </si>
  <si>
    <t>- le rimanenze iniziali del mese, sapendo che quelle dei Materiali diretti sono pari a 230.000 €</t>
  </si>
  <si>
    <t>- il prelievo e l'impiego dei materiali diretti</t>
  </si>
  <si>
    <t>- i costi della manodopera diretta</t>
  </si>
  <si>
    <t>- il completamento della commessa SUN</t>
  </si>
  <si>
    <t>- la vendita di 10 verande della commessa SUN ad un prezzo unitario di euro 25.000</t>
  </si>
  <si>
    <r>
      <t xml:space="preserve">Con riferimento al </t>
    </r>
    <r>
      <rPr>
        <b/>
        <u/>
        <sz val="12"/>
        <color theme="1"/>
        <rFont val="Calibri"/>
        <family val="2"/>
        <scheme val="minor"/>
      </rPr>
      <t>mese di marzo</t>
    </r>
    <r>
      <rPr>
        <b/>
        <sz val="12"/>
        <color theme="1"/>
        <rFont val="Calibri"/>
        <family val="2"/>
        <scheme val="minor"/>
      </rPr>
      <t>, si compilino i mastri sotto riportati rilevando:</t>
    </r>
  </si>
  <si>
    <t>- le rimanenze finali del mese nei magazzini aziendali</t>
  </si>
  <si>
    <t xml:space="preserve"> - il delta assorbimento del mese, specificando se si tratta di sovra o sotto assorbimento, procedendo a rettificare opportunamente il costo del venduto</t>
  </si>
  <si>
    <t>ESERCIZIO 1 (5 punti)</t>
  </si>
  <si>
    <t>Nel corso del mese di Marzo l'azienda ha in produzione due commesse: la Sun, per complessive 25 verande, iniziata nel mese di Febbraio, e la Sea, per complessive 12 verande.
I costi registrati nelle schede di costo delle due commesse, prima dell'imputazione dei costi indiretti di Marzo, sono riportati nella tabella seguente:</t>
  </si>
  <si>
    <t>RI</t>
  </si>
  <si>
    <t xml:space="preserve">- il sostenimento di costi indiretti effettivi per euro 100.000,00 e l'imputazione dei costi indiretti del mese </t>
  </si>
  <si>
    <t>sotto assorbimento</t>
  </si>
  <si>
    <t>cdv rettificato</t>
  </si>
  <si>
    <t>Esame di Programmazione &amp; Controllo - Prova Intermedia del 23 maggio 2022</t>
  </si>
  <si>
    <t>ESERCIZIO 2 (punti 4)</t>
  </si>
  <si>
    <r>
      <t xml:space="preserve">Con riferimento al </t>
    </r>
    <r>
      <rPr>
        <u/>
        <sz val="12"/>
        <color theme="1"/>
        <rFont val="Arial"/>
        <family val="2"/>
      </rPr>
      <t>mese di marzo</t>
    </r>
    <r>
      <rPr>
        <sz val="12"/>
        <color theme="1"/>
        <rFont val="Arial"/>
        <family val="2"/>
      </rPr>
      <t>, si compilino i mastri sotto riportati rilevando:</t>
    </r>
  </si>
  <si>
    <t>Febbraio</t>
  </si>
  <si>
    <t>Marzo</t>
  </si>
  <si>
    <t>Prezzo standard</t>
  </si>
  <si>
    <t>Costi variabili</t>
  </si>
  <si>
    <t>Manodopera diretta</t>
  </si>
  <si>
    <t>Costi indiretti variabili</t>
  </si>
  <si>
    <t>Quantità standard</t>
  </si>
  <si>
    <t>Costo standard</t>
  </si>
  <si>
    <t>Costo standard variabile unitario</t>
  </si>
  <si>
    <t>Costi consuntivi</t>
  </si>
  <si>
    <t>Importi</t>
  </si>
  <si>
    <t>Costo dei materiali diretti</t>
  </si>
  <si>
    <t>Costo MOD</t>
  </si>
  <si>
    <t>Costi indiretti variabili di produzione</t>
  </si>
  <si>
    <t>Impieghi consuntivi</t>
  </si>
  <si>
    <t>Consumi</t>
  </si>
  <si>
    <t>KG di materiali diretti impiegati</t>
  </si>
  <si>
    <t>Ore MOD impiegate</t>
  </si>
  <si>
    <t>La GIP produce e commercializza il prodotto Tech. La scheda di costo standard del prodotto comprende le seguenti informazioni:</t>
  </si>
  <si>
    <t>Monodopera diretta</t>
  </si>
  <si>
    <t>Costi indiretti fissi</t>
  </si>
  <si>
    <t>TOTALE</t>
  </si>
  <si>
    <t>Valore</t>
  </si>
  <si>
    <t>Scotamento di volume</t>
  </si>
  <si>
    <t>Segno (F/SF)</t>
  </si>
  <si>
    <t>1) Budget flessibile</t>
  </si>
  <si>
    <t>2) Calcolo scostamento di volume</t>
  </si>
  <si>
    <t>3) Calcolo scostamento materiali diretti</t>
  </si>
  <si>
    <t>4) Calcolo scostamento costi indiretti variabili</t>
  </si>
  <si>
    <t>kg</t>
  </si>
  <si>
    <t>ore</t>
  </si>
  <si>
    <t>Bdg statico</t>
  </si>
  <si>
    <t>Volumi</t>
  </si>
  <si>
    <t>Md</t>
  </si>
  <si>
    <t>CIV</t>
  </si>
  <si>
    <t>CIF</t>
  </si>
  <si>
    <t>Bdg flex</t>
  </si>
  <si>
    <t>SF</t>
  </si>
  <si>
    <t>Delta totale</t>
  </si>
  <si>
    <t>Quantità effettiva</t>
  </si>
  <si>
    <t>Prezzo effettivo</t>
  </si>
  <si>
    <t>Prezzo</t>
  </si>
  <si>
    <t>3) Calcolo scostamento CIV</t>
  </si>
  <si>
    <t>Spesa</t>
  </si>
  <si>
    <t>Efficienza</t>
  </si>
  <si>
    <t>F</t>
  </si>
  <si>
    <t>Prodotto Tech - Costi variabili</t>
  </si>
  <si>
    <t>Consuntivo</t>
  </si>
  <si>
    <t xml:space="preserve">Nel corso del mese di Marzo l'azienda ha in produzione due commesse: la Sun, per complessive 25 verande, </t>
  </si>
  <si>
    <t>iniziata nel mese di Febbraio, e la Sea, per complessive 12 verande, iniziata nel mese di Marzo.</t>
  </si>
  <si>
    <t>pari a euro 1.890.000,00.</t>
  </si>
  <si>
    <t>Sapendo che i costi indiretti variabili sono allocati in base alle ore di manodopera diretta, si proceda a:</t>
  </si>
  <si>
    <t>1) elaborare il budget flessibile dei costi di produzione;</t>
  </si>
  <si>
    <t>Scostamento di prezzo</t>
  </si>
  <si>
    <t>Scostamento di impiego</t>
  </si>
  <si>
    <t>Scostamento di spesa</t>
  </si>
  <si>
    <t>Scostamento di efficienza</t>
  </si>
  <si>
    <t xml:space="preserve">A budget l'azienda ha previsto di produrre e vendere 37.000 unità di Tech. I costi indiretti fissi di produzione sono stati previsti a budget </t>
  </si>
  <si>
    <t>A consuntivo l'azienda ha prodotto e venduto 33.750 unità di Tech sostenendo costi indiretti fissi di produzione pari a euro 1.795.000,00.</t>
  </si>
  <si>
    <t>Scostamento di volume di vendita</t>
  </si>
  <si>
    <t>Con riferimento ai modelli di misurazione delle performance e di reporting direzionale orientati alla sostenibilità, ed in particolare facendo riferimento alla "Sustainability Balanced Scorecard", si descrivano brevemente i modelli proposti dalla letteratura</t>
  </si>
  <si>
    <t>Si commentino le misure utilizzabili per la valutazione di un centro di investimento, illustrandone modalità di calcolo, pregi e limiti</t>
  </si>
  <si>
    <t>2) Calcolo scostamento di volume di vendita</t>
  </si>
  <si>
    <t>Scotamento di volume di vendita</t>
  </si>
  <si>
    <t xml:space="preserve">La Home produce su commessa verande in vetro per balconi. L'azienda impiega un JOCAS a valori normalizzati </t>
  </si>
  <si>
    <t>I costi registrati nelle schede di costo delle due commesse, prima dell'imputazione dei costi indiretti di Marzo, sono i seguenti:</t>
  </si>
  <si>
    <t>Debiti vs/dipendenti</t>
  </si>
  <si>
    <t>Crediti vs/clienti</t>
  </si>
  <si>
    <t>Controllo Costi Indiretti Produzione</t>
  </si>
  <si>
    <t>Magazzino Semilavorati</t>
  </si>
  <si>
    <t>- le rimanenze iniziali del mese, sapendo che quelle dei Materiali diretti sono pari a 230.000 €;</t>
  </si>
  <si>
    <t>- il prelievo e l'impiego dei materiali diretti;</t>
  </si>
  <si>
    <t>- i costi della manodopera diretta;</t>
  </si>
  <si>
    <t>- il sostenimento di costi indiretti effettivi per euro 100.000,00 e l'imputazione dei costi indiretti del mese;</t>
  </si>
  <si>
    <t>- il completamento della commessa SUN;</t>
  </si>
  <si>
    <t>- la vendita di 10 verande della commessa SUN ad un prezzo unitario di euro 25.000;</t>
  </si>
  <si>
    <t>- le rimanenze finali del mese nel magazzino materiali diretti, magazzino semilavorati, magazzino prodotti finiti;</t>
  </si>
  <si>
    <t>- il delta assorbimento del mese, specificando se si tratta di sovra o sotto assorbimento, procedendo a rettificare opportunamente il costo del venduto.</t>
  </si>
  <si>
    <t>Magazzino Prodotti Finiti</t>
  </si>
  <si>
    <t>nel quale i costi Indiretti di Produzione vengono imputati alla commessa sulla base del costo della manodopera diretta (MOD).</t>
  </si>
  <si>
    <t>Debiti diversi e fondi</t>
  </si>
  <si>
    <t>pari a euro 1.890.000.</t>
  </si>
  <si>
    <t>A consuntivo l'azienda ha prodotto e venduto 33.750 unità di Tech sostenendo costi indiretti fissi di produzione pari a euro 1.795.000.</t>
  </si>
  <si>
    <t>Kg. di materiali diretti acquistati e impiegati</t>
  </si>
  <si>
    <t>2) si determini lo scostamento del volume di vendita;</t>
  </si>
  <si>
    <t>3) si calcolino gli scostamenti di prezzo e di impiego dei materiali diretti indicando se è Favorevole o Sfavorevole;</t>
  </si>
  <si>
    <t xml:space="preserve">4) si calcolino gli scostamenti di spesa e di efficienza dei costi indiretti variabili indicando se è Favorevole o Sfavorevole. </t>
  </si>
  <si>
    <t>(F/SF)</t>
  </si>
  <si>
    <t>Totale</t>
  </si>
  <si>
    <t>3) si calcolino gli scostamenti di prezzo e di impiego dei materiali diretti indicando se Favorevole o Sfavorevole;</t>
  </si>
  <si>
    <t>4) si calcolino gli scostamenti di spesa e di efficienza dei costi indiretti variabili indicando se Favorevole o Sfavorevole. A58</t>
  </si>
  <si>
    <t>Vol effettivi</t>
  </si>
  <si>
    <t>Vol previsti</t>
  </si>
  <si>
    <t>CIF effettivi</t>
  </si>
  <si>
    <t>CIF previsti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</si>
</sst>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#,##0\ &quot;€&quot;;\-#,##0\ &quot;€&quot;"/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  <numFmt numFmtId="166" formatCode="#,##0\ &quot;€&quot;"/>
    <numFmt numFmtId="167" formatCode="#,##0.0\ &quot;€&quot;"/>
    <numFmt numFmtId="168" formatCode="&quot;€&quot;\ #,##0;[Red]\-&quot;€&quot;\ #,##0"/>
    <numFmt numFmtId="169" formatCode="&quot;€&quot;\ #,##0.00;[Red]\-&quot;€&quot;\ #,##0.00"/>
    <numFmt numFmtId="170" formatCode="_-* #,##0.0\ &quot;€&quot;_-;\-* #,##0.0\ &quot;€&quot;_-;_-* &quot;-&quot;??\ &quot;€&quot;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u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Calibri Light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0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5" fillId="2" borderId="0" xfId="0" applyFont="1" applyFill="1"/>
    <xf numFmtId="0" fontId="3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7" fillId="2" borderId="0" xfId="0" applyFont="1" applyFill="1"/>
    <xf numFmtId="165" fontId="5" fillId="0" borderId="0" xfId="0" applyNumberFormat="1" applyFont="1"/>
    <xf numFmtId="165" fontId="5" fillId="0" borderId="0" xfId="0" applyNumberFormat="1" applyFont="1" applyAlignment="1">
      <alignment vertical="top" wrapText="1"/>
    </xf>
    <xf numFmtId="0" fontId="0" fillId="0" borderId="0" xfId="0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justify" vertical="center" wrapText="1"/>
    </xf>
    <xf numFmtId="3" fontId="0" fillId="0" borderId="13" xfId="0" applyNumberFormat="1" applyBorder="1" applyAlignment="1">
      <alignment horizontal="right" vertical="center" wrapText="1"/>
    </xf>
    <xf numFmtId="166" fontId="0" fillId="0" borderId="12" xfId="0" applyNumberFormat="1" applyBorder="1" applyAlignment="1">
      <alignment vertical="center"/>
    </xf>
    <xf numFmtId="166" fontId="0" fillId="0" borderId="14" xfId="0" applyNumberFormat="1" applyBorder="1" applyAlignment="1">
      <alignment vertical="center"/>
    </xf>
    <xf numFmtId="166" fontId="0" fillId="0" borderId="15" xfId="0" quotePrefix="1" applyNumberFormat="1" applyBorder="1" applyAlignment="1">
      <alignment horizontal="center" vertical="center"/>
    </xf>
    <xf numFmtId="0" fontId="0" fillId="0" borderId="16" xfId="0" applyBorder="1" applyAlignment="1">
      <alignment horizontal="justify" vertical="center" wrapText="1"/>
    </xf>
    <xf numFmtId="3" fontId="0" fillId="0" borderId="17" xfId="0" applyNumberFormat="1" applyBorder="1" applyAlignment="1">
      <alignment horizontal="right" vertical="center" wrapText="1"/>
    </xf>
    <xf numFmtId="166" fontId="0" fillId="0" borderId="16" xfId="0" applyNumberFormat="1" applyBorder="1" applyAlignment="1">
      <alignment vertical="center"/>
    </xf>
    <xf numFmtId="166" fontId="0" fillId="0" borderId="18" xfId="0" applyNumberFormat="1" applyBorder="1" applyAlignment="1">
      <alignment vertical="center"/>
    </xf>
    <xf numFmtId="166" fontId="0" fillId="0" borderId="0" xfId="0" quotePrefix="1" applyNumberFormat="1" applyAlignment="1">
      <alignment horizontal="center" vertical="center"/>
    </xf>
    <xf numFmtId="0" fontId="0" fillId="0" borderId="19" xfId="0" applyBorder="1" applyAlignment="1">
      <alignment horizontal="justify" vertical="center" wrapText="1"/>
    </xf>
    <xf numFmtId="3" fontId="0" fillId="0" borderId="20" xfId="0" applyNumberFormat="1" applyBorder="1" applyAlignment="1">
      <alignment horizontal="right" vertical="center" wrapText="1"/>
    </xf>
    <xf numFmtId="166" fontId="0" fillId="0" borderId="19" xfId="0" applyNumberFormat="1" applyBorder="1" applyAlignment="1">
      <alignment vertical="center"/>
    </xf>
    <xf numFmtId="166" fontId="0" fillId="0" borderId="21" xfId="0" applyNumberFormat="1" applyBorder="1" applyAlignment="1">
      <alignment horizontal="center" vertical="center"/>
    </xf>
    <xf numFmtId="166" fontId="0" fillId="0" borderId="22" xfId="0" quotePrefix="1" applyNumberFormat="1" applyBorder="1" applyAlignment="1">
      <alignment horizontal="center" vertical="center"/>
    </xf>
    <xf numFmtId="166" fontId="0" fillId="0" borderId="23" xfId="0" applyNumberFormat="1" applyBorder="1" applyAlignment="1">
      <alignment vertical="center"/>
    </xf>
    <xf numFmtId="166" fontId="0" fillId="0" borderId="3" xfId="0" applyNumberFormat="1" applyBorder="1" applyAlignment="1">
      <alignment horizontal="center" vertical="center"/>
    </xf>
    <xf numFmtId="166" fontId="0" fillId="0" borderId="24" xfId="0" quotePrefix="1" applyNumberFormat="1" applyBorder="1" applyAlignment="1">
      <alignment horizontal="center" vertical="center"/>
    </xf>
    <xf numFmtId="0" fontId="0" fillId="0" borderId="0" xfId="0" applyAlignment="1">
      <alignment horizontal="justify" vertical="center" wrapText="1"/>
    </xf>
    <xf numFmtId="3" fontId="0" fillId="0" borderId="0" xfId="0" applyNumberFormat="1" applyAlignment="1">
      <alignment horizontal="right" vertical="center" wrapText="1"/>
    </xf>
    <xf numFmtId="166" fontId="0" fillId="0" borderId="0" xfId="0" applyNumberFormat="1" applyAlignment="1">
      <alignment vertical="center"/>
    </xf>
    <xf numFmtId="166" fontId="0" fillId="0" borderId="0" xfId="0" applyNumberFormat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3" fontId="0" fillId="2" borderId="0" xfId="0" applyNumberFormat="1" applyFill="1" applyAlignment="1">
      <alignment horizontal="right" vertical="center" wrapText="1"/>
    </xf>
    <xf numFmtId="166" fontId="0" fillId="2" borderId="0" xfId="0" applyNumberFormat="1" applyFill="1" applyAlignment="1">
      <alignment vertical="center"/>
    </xf>
    <xf numFmtId="166" fontId="0" fillId="2" borderId="0" xfId="0" applyNumberFormat="1" applyFill="1" applyAlignment="1">
      <alignment horizontal="center" vertical="center"/>
    </xf>
    <xf numFmtId="166" fontId="0" fillId="2" borderId="0" xfId="0" quotePrefix="1" applyNumberFormat="1" applyFill="1" applyAlignment="1">
      <alignment horizontal="center" vertical="center"/>
    </xf>
    <xf numFmtId="0" fontId="0" fillId="2" borderId="0" xfId="0" applyFill="1"/>
    <xf numFmtId="0" fontId="10" fillId="2" borderId="0" xfId="0" quotePrefix="1" applyFont="1" applyFill="1" applyAlignment="1">
      <alignment horizontal="left" vertical="center"/>
    </xf>
    <xf numFmtId="166" fontId="0" fillId="0" borderId="6" xfId="0" applyNumberFormat="1" applyBorder="1" applyAlignment="1">
      <alignment vertical="center"/>
    </xf>
    <xf numFmtId="166" fontId="0" fillId="0" borderId="4" xfId="0" applyNumberFormat="1" applyBorder="1" applyAlignment="1">
      <alignment vertical="center"/>
    </xf>
    <xf numFmtId="166" fontId="0" fillId="0" borderId="8" xfId="0" applyNumberFormat="1" applyBorder="1" applyAlignment="1">
      <alignment vertical="center"/>
    </xf>
    <xf numFmtId="166" fontId="0" fillId="0" borderId="7" xfId="0" applyNumberFormat="1" applyBorder="1" applyAlignment="1">
      <alignment vertical="center"/>
    </xf>
    <xf numFmtId="166" fontId="9" fillId="0" borderId="7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0" fillId="0" borderId="3" xfId="0" applyBorder="1" applyAlignment="1">
      <alignment horizontal="left" vertical="top"/>
    </xf>
    <xf numFmtId="3" fontId="0" fillId="0" borderId="3" xfId="0" applyNumberFormat="1" applyBorder="1" applyAlignment="1">
      <alignment horizontal="right" vertical="center" wrapText="1"/>
    </xf>
    <xf numFmtId="166" fontId="9" fillId="0" borderId="0" xfId="0" applyNumberFormat="1" applyFont="1" applyAlignment="1">
      <alignment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0" fontId="10" fillId="0" borderId="0" xfId="0" applyFont="1" applyAlignment="1">
      <alignment vertical="center"/>
    </xf>
    <xf numFmtId="167" fontId="10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right" vertical="center"/>
    </xf>
    <xf numFmtId="166" fontId="10" fillId="0" borderId="0" xfId="0" applyNumberFormat="1" applyFont="1" applyAlignment="1">
      <alignment vertical="center"/>
    </xf>
    <xf numFmtId="166" fontId="9" fillId="0" borderId="8" xfId="0" applyNumberFormat="1" applyFont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justify" vertical="center" wrapText="1"/>
    </xf>
    <xf numFmtId="3" fontId="5" fillId="0" borderId="13" xfId="0" applyNumberFormat="1" applyFont="1" applyBorder="1" applyAlignment="1">
      <alignment horizontal="right" vertical="center" wrapText="1"/>
    </xf>
    <xf numFmtId="166" fontId="5" fillId="0" borderId="12" xfId="0" applyNumberFormat="1" applyFont="1" applyBorder="1" applyAlignment="1">
      <alignment vertical="center"/>
    </xf>
    <xf numFmtId="166" fontId="5" fillId="0" borderId="14" xfId="0" applyNumberFormat="1" applyFont="1" applyBorder="1" applyAlignment="1">
      <alignment vertical="center"/>
    </xf>
    <xf numFmtId="166" fontId="5" fillId="0" borderId="15" xfId="0" quotePrefix="1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justify" vertical="center" wrapText="1"/>
    </xf>
    <xf numFmtId="3" fontId="5" fillId="0" borderId="17" xfId="0" applyNumberFormat="1" applyFont="1" applyBorder="1" applyAlignment="1">
      <alignment horizontal="right" vertical="center" wrapText="1"/>
    </xf>
    <xf numFmtId="166" fontId="5" fillId="0" borderId="16" xfId="0" applyNumberFormat="1" applyFont="1" applyBorder="1" applyAlignment="1">
      <alignment vertical="center"/>
    </xf>
    <xf numFmtId="166" fontId="5" fillId="0" borderId="18" xfId="0" applyNumberFormat="1" applyFont="1" applyBorder="1" applyAlignment="1">
      <alignment vertical="center"/>
    </xf>
    <xf numFmtId="166" fontId="5" fillId="0" borderId="0" xfId="0" quotePrefix="1" applyNumberFormat="1" applyFont="1" applyAlignment="1">
      <alignment horizontal="center" vertical="center"/>
    </xf>
    <xf numFmtId="0" fontId="5" fillId="0" borderId="19" xfId="0" applyFont="1" applyBorder="1" applyAlignment="1">
      <alignment horizontal="justify" vertical="center" wrapText="1"/>
    </xf>
    <xf numFmtId="3" fontId="5" fillId="0" borderId="20" xfId="0" applyNumberFormat="1" applyFont="1" applyBorder="1" applyAlignment="1">
      <alignment horizontal="right" vertical="center" wrapText="1"/>
    </xf>
    <xf numFmtId="166" fontId="5" fillId="0" borderId="19" xfId="0" applyNumberFormat="1" applyFont="1" applyBorder="1" applyAlignment="1">
      <alignment vertical="center"/>
    </xf>
    <xf numFmtId="166" fontId="5" fillId="0" borderId="21" xfId="0" applyNumberFormat="1" applyFont="1" applyBorder="1" applyAlignment="1">
      <alignment horizontal="center" vertical="center"/>
    </xf>
    <xf numFmtId="166" fontId="5" fillId="0" borderId="22" xfId="0" quotePrefix="1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3" fontId="5" fillId="0" borderId="3" xfId="0" applyNumberFormat="1" applyFont="1" applyBorder="1" applyAlignment="1">
      <alignment horizontal="right" vertical="center" wrapText="1"/>
    </xf>
    <xf numFmtId="166" fontId="5" fillId="0" borderId="23" xfId="0" applyNumberFormat="1" applyFont="1" applyBorder="1" applyAlignment="1">
      <alignment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24" xfId="0" quotePrefix="1" applyNumberFormat="1" applyFont="1" applyBorder="1" applyAlignment="1">
      <alignment horizontal="center" vertical="center"/>
    </xf>
    <xf numFmtId="0" fontId="5" fillId="0" borderId="0" xfId="0" applyFont="1" applyAlignment="1">
      <alignment horizontal="justify" vertical="center" wrapText="1"/>
    </xf>
    <xf numFmtId="3" fontId="5" fillId="0" borderId="0" xfId="0" applyNumberFormat="1" applyFont="1" applyAlignment="1">
      <alignment horizontal="right" vertical="center" wrapText="1"/>
    </xf>
    <xf numFmtId="166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 wrapText="1"/>
    </xf>
    <xf numFmtId="166" fontId="5" fillId="2" borderId="0" xfId="0" applyNumberFormat="1" applyFont="1" applyFill="1" applyAlignment="1">
      <alignment vertical="center"/>
    </xf>
    <xf numFmtId="166" fontId="5" fillId="2" borderId="0" xfId="0" applyNumberFormat="1" applyFont="1" applyFill="1" applyAlignment="1">
      <alignment horizontal="center" vertical="center"/>
    </xf>
    <xf numFmtId="166" fontId="5" fillId="2" borderId="0" xfId="0" quotePrefix="1" applyNumberFormat="1" applyFont="1" applyFill="1" applyAlignment="1">
      <alignment horizontal="center" vertical="center"/>
    </xf>
    <xf numFmtId="0" fontId="5" fillId="2" borderId="0" xfId="0" quotePrefix="1" applyFont="1" applyFill="1" applyAlignment="1">
      <alignment horizontal="left" vertical="center"/>
    </xf>
    <xf numFmtId="166" fontId="7" fillId="0" borderId="6" xfId="0" applyNumberFormat="1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166" fontId="7" fillId="0" borderId="8" xfId="0" applyNumberFormat="1" applyFont="1" applyBorder="1" applyAlignment="1">
      <alignment vertical="center"/>
    </xf>
    <xf numFmtId="166" fontId="7" fillId="0" borderId="7" xfId="0" applyNumberFormat="1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166" fontId="7" fillId="0" borderId="14" xfId="0" applyNumberFormat="1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166" fontId="7" fillId="0" borderId="21" xfId="0" applyNumberFormat="1" applyFont="1" applyBorder="1" applyAlignment="1">
      <alignment horizontal="center" vertical="center"/>
    </xf>
    <xf numFmtId="167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3" xfId="0" applyFont="1" applyBorder="1" applyAlignment="1">
      <alignment wrapText="1"/>
    </xf>
    <xf numFmtId="0" fontId="8" fillId="0" borderId="3" xfId="0" applyFont="1" applyBorder="1" applyAlignment="1">
      <alignment horizontal="center"/>
    </xf>
    <xf numFmtId="165" fontId="7" fillId="0" borderId="0" xfId="0" applyNumberFormat="1" applyFont="1"/>
    <xf numFmtId="0" fontId="4" fillId="0" borderId="0" xfId="0" applyFont="1" applyAlignment="1">
      <alignment wrapText="1"/>
    </xf>
    <xf numFmtId="0" fontId="4" fillId="0" borderId="3" xfId="0" applyFont="1" applyBorder="1" applyAlignment="1">
      <alignment wrapText="1"/>
    </xf>
    <xf numFmtId="165" fontId="6" fillId="0" borderId="0" xfId="0" applyNumberFormat="1" applyFont="1"/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8" fontId="5" fillId="0" borderId="3" xfId="0" applyNumberFormat="1" applyFont="1" applyBorder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5" fontId="5" fillId="3" borderId="3" xfId="0" applyNumberFormat="1" applyFont="1" applyFill="1" applyBorder="1" applyAlignment="1">
      <alignment vertical="center"/>
    </xf>
    <xf numFmtId="0" fontId="5" fillId="3" borderId="3" xfId="0" applyFont="1" applyFill="1" applyBorder="1"/>
    <xf numFmtId="168" fontId="5" fillId="0" borderId="0" xfId="0" applyNumberFormat="1" applyFont="1"/>
    <xf numFmtId="168" fontId="5" fillId="3" borderId="3" xfId="0" applyNumberFormat="1" applyFont="1" applyFill="1" applyBorder="1"/>
    <xf numFmtId="43" fontId="5" fillId="0" borderId="3" xfId="1" applyNumberFormat="1" applyFont="1" applyFill="1" applyBorder="1"/>
    <xf numFmtId="169" fontId="5" fillId="0" borderId="3" xfId="0" applyNumberFormat="1" applyFont="1" applyBorder="1" applyAlignment="1">
      <alignment horizontal="center" vertical="center"/>
    </xf>
    <xf numFmtId="169" fontId="5" fillId="4" borderId="3" xfId="0" applyNumberFormat="1" applyFont="1" applyFill="1" applyBorder="1" applyAlignment="1">
      <alignment horizontal="center" vertical="center"/>
    </xf>
    <xf numFmtId="169" fontId="4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168" fontId="4" fillId="0" borderId="0" xfId="0" applyNumberFormat="1" applyFont="1"/>
    <xf numFmtId="168" fontId="4" fillId="3" borderId="3" xfId="0" applyNumberFormat="1" applyFont="1" applyFill="1" applyBorder="1"/>
    <xf numFmtId="0" fontId="8" fillId="0" borderId="3" xfId="0" applyFont="1" applyBorder="1"/>
    <xf numFmtId="0" fontId="5" fillId="0" borderId="3" xfId="0" applyFont="1" applyBorder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43" fontId="5" fillId="3" borderId="3" xfId="1" applyNumberFormat="1" applyFont="1" applyFill="1" applyBorder="1"/>
    <xf numFmtId="0" fontId="5" fillId="0" borderId="0" xfId="0" applyFont="1" applyAlignment="1">
      <alignment horizontal="left" vertical="center" wrapText="1"/>
    </xf>
    <xf numFmtId="5" fontId="4" fillId="3" borderId="3" xfId="0" applyNumberFormat="1" applyFont="1" applyFill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5" fillId="0" borderId="0" xfId="0" applyFont="1" applyAlignment="1">
      <alignment vertical="center" wrapText="1"/>
    </xf>
    <xf numFmtId="0" fontId="20" fillId="0" borderId="0" xfId="0" applyFont="1" applyAlignment="1">
      <alignment horizontal="left"/>
    </xf>
    <xf numFmtId="0" fontId="19" fillId="0" borderId="0" xfId="0" applyFont="1" applyAlignment="1">
      <alignment wrapText="1"/>
    </xf>
    <xf numFmtId="0" fontId="19" fillId="0" borderId="0" xfId="0" applyFont="1" applyAlignment="1">
      <alignment vertical="center"/>
    </xf>
    <xf numFmtId="170" fontId="5" fillId="3" borderId="3" xfId="4" applyNumberFormat="1" applyFont="1" applyFill="1" applyBorder="1"/>
    <xf numFmtId="5" fontId="5" fillId="3" borderId="3" xfId="0" applyNumberFormat="1" applyFont="1" applyFill="1" applyBorder="1"/>
    <xf numFmtId="7" fontId="5" fillId="3" borderId="3" xfId="0" applyNumberFormat="1" applyFont="1" applyFill="1" applyBorder="1"/>
    <xf numFmtId="8" fontId="5" fillId="3" borderId="3" xfId="0" applyNumberFormat="1" applyFont="1" applyFill="1" applyBorder="1"/>
    <xf numFmtId="0" fontId="3" fillId="2" borderId="0" xfId="0" applyFont="1" applyFill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5" fillId="2" borderId="0" xfId="0" quotePrefix="1" applyFont="1" applyFill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15" fillId="2" borderId="0" xfId="0" applyFont="1" applyFill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2" borderId="0" xfId="0" quotePrefix="1" applyFont="1" applyFill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0" fillId="3" borderId="4" xfId="0" applyFill="1" applyBorder="1" applyAlignment="1">
      <alignment vertical="top"/>
    </xf>
    <xf numFmtId="0" fontId="0" fillId="3" borderId="5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3" borderId="8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10" xfId="0" applyFill="1" applyBorder="1" applyAlignment="1">
      <alignment vertical="top"/>
    </xf>
    <xf numFmtId="0" fontId="0" fillId="3" borderId="11" xfId="0" applyFill="1" applyBorder="1" applyAlignment="1">
      <alignment vertical="top"/>
    </xf>
    <xf numFmtId="0" fontId="20" fillId="0" borderId="0" xfId="0" applyFont="1" applyAlignment="1">
      <alignment horizontal="center" wrapText="1"/>
    </xf>
  </cellXfs>
  <cellStyles count="5">
    <cellStyle name="Migliaia" xfId="1" builtinId="3"/>
    <cellStyle name="Migliaia 2" xfId="2" xr:uid="{00000000-0005-0000-0000-000001000000}"/>
    <cellStyle name="Migliaia 3" xfId="3" xr:uid="{00000000-0005-0000-0000-000002000000}"/>
    <cellStyle name="Normale" xfId="0" builtinId="0"/>
    <cellStyle name="Valuta" xfId="4" builtinId="4"/>
  </cellStyles>
  <dxfs count="21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619125</xdr:colOff>
      <xdr:row>4</xdr:row>
      <xdr:rowOff>114301</xdr:rowOff>
    </xdr:from>
    <xdr:to>
      <xdr:col>13</xdr:col>
      <xdr:colOff>433388</xdr:colOff>
      <xdr:row>19</xdr:row>
      <xdr:rowOff>89298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B7CA89B-4DB6-47F4-A8F5-6559F5FB5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381126"/>
          <a:ext cx="3586163" cy="26896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161927</xdr:rowOff>
    </xdr:from>
    <xdr:to>
      <xdr:col>5</xdr:col>
      <xdr:colOff>442913</xdr:colOff>
      <xdr:row>34</xdr:row>
      <xdr:rowOff>136924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FBBE1E9-4562-407B-BC31-F0D7686E0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43377"/>
          <a:ext cx="3586163" cy="2689622"/>
        </a:xfrm>
        <a:prstGeom prst="rect">
          <a:avLst/>
        </a:prstGeom>
      </xdr:spPr>
    </xdr:pic>
    <xdr:clientData/>
  </xdr:twoCellAnchor>
  <xdr:twoCellAnchor editAs="oneCell">
    <xdr:from>
      <xdr:col>7</xdr:col>
      <xdr:colOff>619124</xdr:colOff>
      <xdr:row>19</xdr:row>
      <xdr:rowOff>142877</xdr:rowOff>
    </xdr:from>
    <xdr:to>
      <xdr:col>13</xdr:col>
      <xdr:colOff>433387</xdr:colOff>
      <xdr:row>34</xdr:row>
      <xdr:rowOff>117874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7B2DEE1D-0A93-4C81-B27F-5405266F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19674" y="4124327"/>
          <a:ext cx="3586163" cy="2689622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</xdr:colOff>
      <xdr:row>4</xdr:row>
      <xdr:rowOff>119064</xdr:rowOff>
    </xdr:from>
    <xdr:to>
      <xdr:col>5</xdr:col>
      <xdr:colOff>457200</xdr:colOff>
      <xdr:row>19</xdr:row>
      <xdr:rowOff>94061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E29E44DF-B64E-4800-A99A-67995ACFA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" y="1385889"/>
          <a:ext cx="3586163" cy="26896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23813</xdr:rowOff>
    </xdr:from>
    <xdr:to>
      <xdr:col>5</xdr:col>
      <xdr:colOff>476250</xdr:colOff>
      <xdr:row>22</xdr:row>
      <xdr:rowOff>23813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6262007-6939-40F7-B59C-54F7E24B0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7376"/>
          <a:ext cx="3619500" cy="2714625"/>
        </a:xfrm>
        <a:prstGeom prst="rect">
          <a:avLst/>
        </a:prstGeom>
      </xdr:spPr>
    </xdr:pic>
    <xdr:clientData/>
  </xdr:twoCellAnchor>
  <xdr:twoCellAnchor editAs="oneCell">
    <xdr:from>
      <xdr:col>5</xdr:col>
      <xdr:colOff>604838</xdr:colOff>
      <xdr:row>7</xdr:row>
      <xdr:rowOff>19049</xdr:rowOff>
    </xdr:from>
    <xdr:to>
      <xdr:col>11</xdr:col>
      <xdr:colOff>466726</xdr:colOff>
      <xdr:row>22</xdr:row>
      <xdr:rowOff>29765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87150A5-0EBE-4DE0-A63F-06888FCBE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8088" y="1852612"/>
          <a:ext cx="3633788" cy="2725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zoomScale="120" zoomScaleNormal="120" workbookViewId="0">
      <selection activeCell="A2" sqref="A2"/>
    </sheetView>
  </sheetViews>
  <sheetFormatPr baseColWidth="10" defaultColWidth="8.83203125" defaultRowHeight="14" x14ac:dyDescent="0.15"/>
  <cols>
    <col min="1" max="1" width="20" style="1" customWidth="1"/>
    <col min="2" max="2" width="41.83203125" style="1" customWidth="1"/>
    <col min="3" max="16384" width="8.83203125" style="1"/>
  </cols>
  <sheetData>
    <row r="1" spans="1:2" ht="38.5" customHeight="1" x14ac:dyDescent="0.15">
      <c r="A1" s="155" t="s">
        <v>36</v>
      </c>
      <c r="B1" s="155"/>
    </row>
    <row r="3" spans="1:2" ht="15" thickBot="1" x14ac:dyDescent="0.2"/>
    <row r="4" spans="1:2" ht="16" thickBot="1" x14ac:dyDescent="0.2">
      <c r="A4" s="7" t="s">
        <v>0</v>
      </c>
      <c r="B4" s="8"/>
    </row>
    <row r="5" spans="1:2" ht="15" thickBot="1" x14ac:dyDescent="0.2">
      <c r="A5" s="2"/>
    </row>
    <row r="6" spans="1:2" ht="16" thickBot="1" x14ac:dyDescent="0.2">
      <c r="A6" s="7" t="s">
        <v>1</v>
      </c>
      <c r="B6" s="8"/>
    </row>
    <row r="7" spans="1:2" ht="15" thickBot="1" x14ac:dyDescent="0.2">
      <c r="A7" s="2"/>
    </row>
    <row r="8" spans="1:2" ht="16" thickBot="1" x14ac:dyDescent="0.2">
      <c r="A8" s="7" t="s">
        <v>2</v>
      </c>
      <c r="B8" s="9"/>
    </row>
    <row r="9" spans="1:2" ht="15" thickBot="1" x14ac:dyDescent="0.2">
      <c r="A9" s="2"/>
    </row>
    <row r="10" spans="1:2" ht="16" thickBot="1" x14ac:dyDescent="0.2">
      <c r="A10" s="7" t="s">
        <v>3</v>
      </c>
      <c r="B10" s="9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2"/>
  <sheetViews>
    <sheetView showGridLines="0" topLeftCell="A12" zoomScale="180" zoomScaleNormal="100" workbookViewId="0">
      <selection activeCell="D11" sqref="D11"/>
    </sheetView>
  </sheetViews>
  <sheetFormatPr baseColWidth="10" defaultColWidth="8.83203125" defaultRowHeight="16" x14ac:dyDescent="0.2"/>
  <cols>
    <col min="1" max="1" width="15.5" style="3" customWidth="1"/>
    <col min="2" max="2" width="12" style="3" customWidth="1"/>
    <col min="3" max="4" width="15.5" style="3" customWidth="1"/>
    <col min="5" max="5" width="17" style="3" customWidth="1"/>
    <col min="6" max="6" width="15.5" style="3" customWidth="1"/>
    <col min="7" max="7" width="12.1640625" style="3" customWidth="1"/>
    <col min="8" max="8" width="13.5" style="3" customWidth="1"/>
    <col min="9" max="9" width="4" style="3" customWidth="1"/>
    <col min="10" max="16384" width="8.83203125" style="3"/>
  </cols>
  <sheetData>
    <row r="1" spans="1:8" x14ac:dyDescent="0.2">
      <c r="A1" s="64" t="s">
        <v>30</v>
      </c>
      <c r="B1" s="6"/>
      <c r="C1" s="6"/>
      <c r="D1" s="6"/>
      <c r="E1" s="6"/>
      <c r="F1" s="6"/>
      <c r="G1" s="6"/>
      <c r="H1" s="6"/>
    </row>
    <row r="2" spans="1:8" x14ac:dyDescent="0.2">
      <c r="A2" s="108"/>
    </row>
    <row r="3" spans="1:8" x14ac:dyDescent="0.2">
      <c r="A3" s="159" t="s">
        <v>103</v>
      </c>
      <c r="B3" s="159"/>
      <c r="C3" s="159"/>
      <c r="D3" s="159"/>
      <c r="E3" s="159"/>
      <c r="F3" s="159"/>
      <c r="G3" s="159"/>
      <c r="H3" s="159"/>
    </row>
    <row r="4" spans="1:8" ht="33.75" customHeight="1" x14ac:dyDescent="0.2">
      <c r="A4" s="159" t="s">
        <v>118</v>
      </c>
      <c r="B4" s="159"/>
      <c r="C4" s="159"/>
      <c r="D4" s="159"/>
      <c r="E4" s="159"/>
      <c r="F4" s="159"/>
      <c r="G4" s="159"/>
      <c r="H4" s="159"/>
    </row>
    <row r="5" spans="1:8" x14ac:dyDescent="0.2">
      <c r="A5" s="159" t="s">
        <v>87</v>
      </c>
      <c r="B5" s="159"/>
      <c r="C5" s="159"/>
      <c r="D5" s="159"/>
      <c r="E5" s="159"/>
      <c r="F5" s="159"/>
      <c r="G5" s="159"/>
      <c r="H5" s="159"/>
    </row>
    <row r="6" spans="1:8" x14ac:dyDescent="0.2">
      <c r="A6" s="159" t="s">
        <v>88</v>
      </c>
      <c r="B6" s="159"/>
      <c r="C6" s="159"/>
      <c r="D6" s="159"/>
      <c r="E6" s="159"/>
      <c r="F6" s="159"/>
      <c r="G6" s="159"/>
      <c r="H6" s="159"/>
    </row>
    <row r="7" spans="1:8" ht="32.75" customHeight="1" x14ac:dyDescent="0.2">
      <c r="A7" s="159" t="s">
        <v>104</v>
      </c>
      <c r="B7" s="159"/>
      <c r="C7" s="159"/>
      <c r="D7" s="159"/>
      <c r="E7" s="159"/>
      <c r="F7" s="159"/>
      <c r="G7" s="159"/>
      <c r="H7" s="159"/>
    </row>
    <row r="8" spans="1:8" x14ac:dyDescent="0.2">
      <c r="A8" s="65"/>
      <c r="B8" s="65"/>
      <c r="C8" s="65"/>
      <c r="D8" s="65"/>
      <c r="E8" s="65"/>
    </row>
    <row r="9" spans="1:8" x14ac:dyDescent="0.2">
      <c r="A9" s="65"/>
      <c r="B9" s="65"/>
      <c r="C9" s="160" t="s">
        <v>18</v>
      </c>
      <c r="D9" s="160"/>
      <c r="E9" s="160" t="s">
        <v>6</v>
      </c>
      <c r="F9" s="160"/>
    </row>
    <row r="10" spans="1:8" x14ac:dyDescent="0.2">
      <c r="A10" s="65"/>
      <c r="B10" s="65"/>
      <c r="C10" s="66" t="s">
        <v>39</v>
      </c>
      <c r="D10" s="66" t="s">
        <v>40</v>
      </c>
      <c r="E10" s="66" t="s">
        <v>39</v>
      </c>
      <c r="F10" s="66" t="s">
        <v>40</v>
      </c>
    </row>
    <row r="11" spans="1:8" ht="17" x14ac:dyDescent="0.2">
      <c r="A11" s="67" t="s">
        <v>7</v>
      </c>
      <c r="B11" s="68"/>
      <c r="C11" s="69">
        <v>135000</v>
      </c>
      <c r="D11" s="70">
        <v>54000</v>
      </c>
      <c r="E11" s="71" t="s">
        <v>8</v>
      </c>
      <c r="F11" s="70">
        <v>96000</v>
      </c>
    </row>
    <row r="12" spans="1:8" ht="17" x14ac:dyDescent="0.2">
      <c r="A12" s="72" t="s">
        <v>9</v>
      </c>
      <c r="B12" s="73"/>
      <c r="C12" s="74">
        <v>57800</v>
      </c>
      <c r="D12" s="75">
        <v>18000</v>
      </c>
      <c r="E12" s="76" t="s">
        <v>8</v>
      </c>
      <c r="F12" s="75">
        <v>34000</v>
      </c>
    </row>
    <row r="13" spans="1:8" ht="17" x14ac:dyDescent="0.2">
      <c r="A13" s="77" t="s">
        <v>10</v>
      </c>
      <c r="B13" s="78"/>
      <c r="C13" s="79">
        <v>104040</v>
      </c>
      <c r="D13" s="80"/>
      <c r="E13" s="81" t="s">
        <v>8</v>
      </c>
      <c r="F13" s="80"/>
    </row>
    <row r="14" spans="1:8" ht="13.5" customHeight="1" x14ac:dyDescent="0.2">
      <c r="A14" s="82" t="s">
        <v>11</v>
      </c>
      <c r="B14" s="83"/>
      <c r="C14" s="84">
        <f>SUM(C11:C13)</f>
        <v>296840</v>
      </c>
      <c r="D14" s="85"/>
      <c r="E14" s="86" t="s">
        <v>8</v>
      </c>
      <c r="F14" s="85"/>
    </row>
    <row r="15" spans="1:8" ht="13.5" customHeight="1" x14ac:dyDescent="0.2">
      <c r="A15" s="87"/>
      <c r="B15" s="88"/>
      <c r="C15" s="89"/>
      <c r="D15" s="90"/>
      <c r="E15" s="76"/>
      <c r="F15" s="90"/>
    </row>
    <row r="16" spans="1:8" x14ac:dyDescent="0.2">
      <c r="A16" s="63" t="s">
        <v>38</v>
      </c>
      <c r="B16" s="91"/>
      <c r="C16" s="92"/>
      <c r="D16" s="93"/>
      <c r="E16" s="94"/>
      <c r="F16" s="93"/>
      <c r="G16" s="6"/>
      <c r="H16" s="6"/>
    </row>
    <row r="17" spans="1:8" x14ac:dyDescent="0.2">
      <c r="A17" s="95" t="s">
        <v>109</v>
      </c>
      <c r="B17" s="91"/>
      <c r="C17" s="92"/>
      <c r="D17" s="93"/>
      <c r="E17" s="94"/>
      <c r="F17" s="93"/>
      <c r="G17" s="6"/>
      <c r="H17" s="6"/>
    </row>
    <row r="18" spans="1:8" x14ac:dyDescent="0.2">
      <c r="A18" s="95" t="s">
        <v>110</v>
      </c>
      <c r="B18" s="91"/>
      <c r="C18" s="92"/>
      <c r="D18" s="93"/>
      <c r="E18" s="94"/>
      <c r="F18" s="93"/>
      <c r="G18" s="6"/>
      <c r="H18" s="6"/>
    </row>
    <row r="19" spans="1:8" x14ac:dyDescent="0.2">
      <c r="A19" s="95" t="s">
        <v>111</v>
      </c>
      <c r="B19" s="91"/>
      <c r="C19" s="92"/>
      <c r="D19" s="93"/>
      <c r="E19" s="94"/>
      <c r="F19" s="93"/>
      <c r="G19" s="6"/>
      <c r="H19" s="6"/>
    </row>
    <row r="20" spans="1:8" x14ac:dyDescent="0.2">
      <c r="A20" s="95" t="s">
        <v>112</v>
      </c>
      <c r="B20" s="91"/>
      <c r="C20" s="92"/>
      <c r="D20" s="93"/>
      <c r="E20" s="94"/>
      <c r="F20" s="93"/>
      <c r="G20" s="6"/>
      <c r="H20" s="6"/>
    </row>
    <row r="21" spans="1:8" x14ac:dyDescent="0.2">
      <c r="A21" s="95" t="s">
        <v>113</v>
      </c>
      <c r="B21" s="91"/>
      <c r="C21" s="92"/>
      <c r="D21" s="93"/>
      <c r="E21" s="94"/>
      <c r="F21" s="93"/>
      <c r="G21" s="6"/>
      <c r="H21" s="6"/>
    </row>
    <row r="22" spans="1:8" x14ac:dyDescent="0.2">
      <c r="A22" s="95" t="s">
        <v>114</v>
      </c>
      <c r="B22" s="91"/>
      <c r="C22" s="92"/>
      <c r="D22" s="93"/>
      <c r="E22" s="94"/>
      <c r="F22" s="93"/>
      <c r="G22" s="6"/>
      <c r="H22" s="6"/>
    </row>
    <row r="23" spans="1:8" x14ac:dyDescent="0.2">
      <c r="A23" s="95" t="s">
        <v>115</v>
      </c>
      <c r="B23" s="91"/>
      <c r="C23" s="92"/>
      <c r="D23" s="93"/>
      <c r="E23" s="94"/>
      <c r="F23" s="93"/>
      <c r="G23" s="6"/>
      <c r="H23" s="6"/>
    </row>
    <row r="24" spans="1:8" ht="34.25" customHeight="1" x14ac:dyDescent="0.2">
      <c r="A24" s="157" t="s">
        <v>116</v>
      </c>
      <c r="B24" s="157"/>
      <c r="C24" s="157"/>
      <c r="D24" s="157"/>
      <c r="E24" s="157"/>
      <c r="F24" s="157"/>
      <c r="G24" s="157"/>
      <c r="H24" s="157"/>
    </row>
    <row r="25" spans="1:8" s="65" customFormat="1" x14ac:dyDescent="0.2"/>
    <row r="26" spans="1:8" s="65" customFormat="1" x14ac:dyDescent="0.2"/>
    <row r="27" spans="1:8" s="65" customFormat="1" ht="17" thickBot="1" x14ac:dyDescent="0.25">
      <c r="A27" s="158" t="s">
        <v>12</v>
      </c>
      <c r="B27" s="158"/>
      <c r="D27" s="158" t="s">
        <v>108</v>
      </c>
      <c r="E27" s="158"/>
      <c r="G27" s="158" t="s">
        <v>117</v>
      </c>
      <c r="H27" s="158"/>
    </row>
    <row r="28" spans="1:8" s="99" customFormat="1" x14ac:dyDescent="0.2">
      <c r="A28" s="96"/>
      <c r="B28" s="97"/>
      <c r="C28" s="98"/>
      <c r="D28" s="96"/>
      <c r="E28" s="97"/>
      <c r="G28" s="96"/>
      <c r="H28" s="97"/>
    </row>
    <row r="29" spans="1:8" s="99" customFormat="1" x14ac:dyDescent="0.2">
      <c r="A29" s="100"/>
      <c r="B29" s="101"/>
      <c r="D29" s="100"/>
      <c r="E29" s="101"/>
      <c r="G29" s="100"/>
      <c r="H29" s="101"/>
    </row>
    <row r="30" spans="1:8" s="99" customFormat="1" x14ac:dyDescent="0.2">
      <c r="A30" s="100"/>
      <c r="B30" s="101"/>
      <c r="D30" s="100"/>
      <c r="E30" s="101"/>
      <c r="G30" s="100"/>
      <c r="H30" s="101"/>
    </row>
    <row r="31" spans="1:8" s="99" customFormat="1" x14ac:dyDescent="0.2">
      <c r="D31" s="100"/>
      <c r="E31" s="101"/>
      <c r="G31" s="102"/>
      <c r="H31" s="102"/>
    </row>
    <row r="32" spans="1:8" s="99" customFormat="1" ht="17" thickBot="1" x14ac:dyDescent="0.25">
      <c r="D32" s="100"/>
      <c r="E32" s="101"/>
      <c r="G32" s="156" t="s">
        <v>15</v>
      </c>
      <c r="H32" s="156"/>
    </row>
    <row r="33" spans="1:8" s="99" customFormat="1" ht="17" thickBot="1" x14ac:dyDescent="0.25">
      <c r="A33" s="156" t="s">
        <v>105</v>
      </c>
      <c r="B33" s="156"/>
      <c r="D33" s="100"/>
      <c r="G33" s="96"/>
      <c r="H33" s="97"/>
    </row>
    <row r="34" spans="1:8" s="99" customFormat="1" x14ac:dyDescent="0.2">
      <c r="A34" s="96"/>
      <c r="B34" s="97"/>
      <c r="D34" s="103" t="s">
        <v>18</v>
      </c>
      <c r="E34" s="103" t="s">
        <v>6</v>
      </c>
      <c r="F34" s="98"/>
      <c r="G34" s="100"/>
      <c r="H34" s="101"/>
    </row>
    <row r="35" spans="1:8" s="99" customFormat="1" x14ac:dyDescent="0.2">
      <c r="A35" s="100"/>
      <c r="B35" s="101"/>
      <c r="D35" s="104"/>
      <c r="E35" s="104"/>
      <c r="G35" s="100"/>
      <c r="H35" s="101"/>
    </row>
    <row r="36" spans="1:8" s="99" customFormat="1" x14ac:dyDescent="0.2">
      <c r="A36" s="100"/>
      <c r="B36" s="101"/>
      <c r="D36" s="105"/>
      <c r="E36" s="105"/>
      <c r="G36" s="102"/>
    </row>
    <row r="37" spans="1:8" s="99" customFormat="1" ht="17" thickBot="1" x14ac:dyDescent="0.25">
      <c r="D37" s="105"/>
      <c r="E37" s="105"/>
      <c r="G37" s="156" t="s">
        <v>16</v>
      </c>
      <c r="H37" s="156"/>
    </row>
    <row r="38" spans="1:8" s="99" customFormat="1" ht="17" thickBot="1" x14ac:dyDescent="0.25">
      <c r="A38" s="156" t="s">
        <v>119</v>
      </c>
      <c r="B38" s="156"/>
      <c r="D38" s="105"/>
      <c r="E38" s="105"/>
      <c r="G38" s="96"/>
      <c r="H38" s="97"/>
    </row>
    <row r="39" spans="1:8" s="99" customFormat="1" x14ac:dyDescent="0.2">
      <c r="A39" s="96"/>
      <c r="B39" s="97"/>
      <c r="D39" s="106"/>
      <c r="E39" s="106"/>
      <c r="G39" s="100"/>
      <c r="H39" s="101"/>
    </row>
    <row r="40" spans="1:8" s="99" customFormat="1" x14ac:dyDescent="0.2">
      <c r="A40" s="100"/>
      <c r="B40" s="101"/>
      <c r="G40" s="100"/>
      <c r="H40" s="101"/>
    </row>
    <row r="41" spans="1:8" s="99" customFormat="1" x14ac:dyDescent="0.2">
      <c r="A41" s="100"/>
      <c r="B41" s="101"/>
    </row>
    <row r="42" spans="1:8" s="99" customFormat="1" ht="17" thickBot="1" x14ac:dyDescent="0.25">
      <c r="D42" s="156" t="s">
        <v>107</v>
      </c>
      <c r="E42" s="156"/>
      <c r="G42" s="156" t="s">
        <v>106</v>
      </c>
      <c r="H42" s="156"/>
    </row>
    <row r="43" spans="1:8" s="99" customFormat="1" x14ac:dyDescent="0.2">
      <c r="D43" s="96"/>
      <c r="E43" s="97"/>
      <c r="G43" s="96"/>
      <c r="H43" s="97"/>
    </row>
    <row r="44" spans="1:8" s="99" customFormat="1" x14ac:dyDescent="0.2">
      <c r="D44" s="100"/>
      <c r="E44" s="101"/>
      <c r="G44" s="100"/>
      <c r="H44" s="101"/>
    </row>
    <row r="45" spans="1:8" s="99" customFormat="1" x14ac:dyDescent="0.2">
      <c r="C45" s="98"/>
      <c r="D45" s="102"/>
      <c r="E45" s="101"/>
      <c r="G45" s="100"/>
      <c r="H45" s="101"/>
    </row>
    <row r="46" spans="1:8" s="99" customFormat="1" x14ac:dyDescent="0.2"/>
    <row r="47" spans="1:8" s="99" customFormat="1" x14ac:dyDescent="0.2">
      <c r="E47" s="107"/>
    </row>
    <row r="48" spans="1:8" s="99" customFormat="1" x14ac:dyDescent="0.2"/>
    <row r="49" s="99" customFormat="1" x14ac:dyDescent="0.2"/>
    <row r="50" s="4" customFormat="1" x14ac:dyDescent="0.2"/>
    <row r="51" s="4" customFormat="1" x14ac:dyDescent="0.2"/>
    <row r="52" s="4" customFormat="1" x14ac:dyDescent="0.2"/>
  </sheetData>
  <mergeCells count="17">
    <mergeCell ref="A3:H3"/>
    <mergeCell ref="C9:D9"/>
    <mergeCell ref="E9:F9"/>
    <mergeCell ref="G37:H37"/>
    <mergeCell ref="A4:H4"/>
    <mergeCell ref="A5:H5"/>
    <mergeCell ref="A6:H6"/>
    <mergeCell ref="A7:H7"/>
    <mergeCell ref="D42:E42"/>
    <mergeCell ref="G42:H42"/>
    <mergeCell ref="A24:H24"/>
    <mergeCell ref="A27:B27"/>
    <mergeCell ref="D27:E27"/>
    <mergeCell ref="G27:H27"/>
    <mergeCell ref="G32:H32"/>
    <mergeCell ref="A33:B33"/>
    <mergeCell ref="A38:B38"/>
  </mergeCells>
  <pageMargins left="0.19685039370078741" right="0.19685039370078741" top="0.19685039370078741" bottom="0.19685039370078741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5"/>
  <sheetViews>
    <sheetView showGridLines="0" topLeftCell="A20" zoomScale="137" zoomScaleNormal="100" workbookViewId="0">
      <selection activeCell="L5" sqref="L5"/>
    </sheetView>
  </sheetViews>
  <sheetFormatPr baseColWidth="10" defaultColWidth="8.83203125" defaultRowHeight="15" x14ac:dyDescent="0.2"/>
  <cols>
    <col min="1" max="1" width="15.5" customWidth="1"/>
    <col min="2" max="2" width="11.1640625" customWidth="1"/>
    <col min="3" max="6" width="15.5" customWidth="1"/>
    <col min="7" max="8" width="11.1640625" customWidth="1"/>
    <col min="9" max="9" width="0.83203125" customWidth="1"/>
    <col min="10" max="10" width="4.1640625" customWidth="1"/>
    <col min="11" max="11" width="2.33203125" customWidth="1"/>
  </cols>
  <sheetData>
    <row r="1" spans="1:12" ht="21" x14ac:dyDescent="0.2">
      <c r="A1" s="51" t="s">
        <v>30</v>
      </c>
      <c r="B1" s="43"/>
      <c r="C1" s="43"/>
      <c r="D1" s="43"/>
      <c r="E1" s="43"/>
      <c r="F1" s="43"/>
      <c r="G1" s="43"/>
      <c r="H1" s="43"/>
    </row>
    <row r="2" spans="1:12" ht="46.25" customHeight="1" x14ac:dyDescent="0.2">
      <c r="A2" s="162" t="s">
        <v>17</v>
      </c>
      <c r="B2" s="162"/>
      <c r="C2" s="162"/>
      <c r="D2" s="162"/>
      <c r="E2" s="162"/>
      <c r="F2" s="162"/>
      <c r="G2" s="162"/>
      <c r="H2" s="162"/>
    </row>
    <row r="3" spans="1:12" ht="61.25" customHeight="1" x14ac:dyDescent="0.2">
      <c r="A3" s="163" t="s">
        <v>31</v>
      </c>
      <c r="B3" s="163"/>
      <c r="C3" s="163"/>
      <c r="D3" s="163"/>
      <c r="E3" s="163"/>
      <c r="F3" s="163"/>
      <c r="G3" s="163"/>
      <c r="H3" s="163"/>
    </row>
    <row r="4" spans="1:12" x14ac:dyDescent="0.2">
      <c r="A4" s="14"/>
      <c r="B4" s="14"/>
      <c r="C4" s="14"/>
      <c r="D4" s="14"/>
      <c r="E4" s="14"/>
    </row>
    <row r="5" spans="1:12" x14ac:dyDescent="0.2">
      <c r="A5" s="14"/>
      <c r="B5" s="14"/>
      <c r="C5" s="164" t="s">
        <v>18</v>
      </c>
      <c r="D5" s="164"/>
      <c r="E5" s="164" t="s">
        <v>6</v>
      </c>
      <c r="F5" s="164"/>
    </row>
    <row r="6" spans="1:12" x14ac:dyDescent="0.2">
      <c r="A6" s="14"/>
      <c r="B6" s="14"/>
      <c r="C6" s="15" t="s">
        <v>19</v>
      </c>
      <c r="D6" s="15" t="s">
        <v>20</v>
      </c>
      <c r="E6" s="15" t="s">
        <v>19</v>
      </c>
      <c r="F6" s="15" t="s">
        <v>20</v>
      </c>
    </row>
    <row r="7" spans="1:12" ht="16" x14ac:dyDescent="0.2">
      <c r="A7" s="16" t="s">
        <v>7</v>
      </c>
      <c r="B7" s="17"/>
      <c r="C7" s="18">
        <v>135000</v>
      </c>
      <c r="D7" s="19">
        <v>54000</v>
      </c>
      <c r="E7" s="20" t="s">
        <v>8</v>
      </c>
      <c r="F7" s="19">
        <v>96000</v>
      </c>
    </row>
    <row r="8" spans="1:12" ht="16" x14ac:dyDescent="0.2">
      <c r="A8" s="21" t="s">
        <v>9</v>
      </c>
      <c r="B8" s="22"/>
      <c r="C8" s="23">
        <v>57800</v>
      </c>
      <c r="D8" s="24">
        <v>18000</v>
      </c>
      <c r="E8" s="25" t="s">
        <v>8</v>
      </c>
      <c r="F8" s="24">
        <v>34000</v>
      </c>
    </row>
    <row r="9" spans="1:12" ht="16" x14ac:dyDescent="0.2">
      <c r="A9" s="26" t="s">
        <v>10</v>
      </c>
      <c r="B9" s="27"/>
      <c r="C9" s="28">
        <v>104040</v>
      </c>
      <c r="D9" s="29"/>
      <c r="E9" s="30" t="s">
        <v>8</v>
      </c>
      <c r="F9" s="29"/>
    </row>
    <row r="10" spans="1:12" ht="13.5" customHeight="1" x14ac:dyDescent="0.2">
      <c r="A10" s="52" t="s">
        <v>11</v>
      </c>
      <c r="B10" s="53"/>
      <c r="C10" s="31">
        <f>SUM(C7:C9)</f>
        <v>296840</v>
      </c>
      <c r="D10" s="32"/>
      <c r="E10" s="33" t="s">
        <v>8</v>
      </c>
      <c r="F10" s="32"/>
    </row>
    <row r="11" spans="1:12" ht="13.5" customHeight="1" x14ac:dyDescent="0.2">
      <c r="A11" s="34"/>
      <c r="B11" s="35"/>
      <c r="C11" s="36"/>
      <c r="D11" s="37"/>
      <c r="E11" s="25"/>
      <c r="F11" s="37"/>
      <c r="J11" s="144"/>
      <c r="K11" s="144"/>
    </row>
    <row r="12" spans="1:12" ht="22.25" customHeight="1" x14ac:dyDescent="0.2">
      <c r="A12" s="38" t="s">
        <v>27</v>
      </c>
      <c r="B12" s="39"/>
      <c r="C12" s="40"/>
      <c r="D12" s="41"/>
      <c r="E12" s="42"/>
      <c r="F12" s="41"/>
      <c r="G12" s="43"/>
      <c r="H12" s="43"/>
      <c r="J12" s="144"/>
      <c r="K12" s="144"/>
    </row>
    <row r="13" spans="1:12" ht="16.75" customHeight="1" x14ac:dyDescent="0.2">
      <c r="A13" s="44" t="s">
        <v>22</v>
      </c>
      <c r="B13" s="39"/>
      <c r="C13" s="40"/>
      <c r="D13" s="41"/>
      <c r="E13" s="42"/>
      <c r="F13" s="41"/>
      <c r="G13" s="43"/>
      <c r="H13" s="43"/>
      <c r="J13" s="144"/>
      <c r="K13" s="144"/>
    </row>
    <row r="14" spans="1:12" ht="16.75" customHeight="1" x14ac:dyDescent="0.2">
      <c r="A14" s="44" t="s">
        <v>23</v>
      </c>
      <c r="B14" s="39"/>
      <c r="C14" s="40"/>
      <c r="D14" s="41"/>
      <c r="E14" s="42"/>
      <c r="F14" s="41"/>
      <c r="G14" s="43"/>
      <c r="H14" s="43"/>
      <c r="J14" s="144"/>
      <c r="K14" s="144"/>
    </row>
    <row r="15" spans="1:12" ht="16.75" customHeight="1" x14ac:dyDescent="0.2">
      <c r="A15" s="44" t="s">
        <v>24</v>
      </c>
      <c r="B15" s="39"/>
      <c r="C15" s="40"/>
      <c r="D15" s="41"/>
      <c r="E15" s="42"/>
      <c r="F15" s="41"/>
      <c r="G15" s="43"/>
      <c r="H15" s="43"/>
      <c r="J15" s="144"/>
      <c r="K15" s="144"/>
    </row>
    <row r="16" spans="1:12" x14ac:dyDescent="0.2">
      <c r="A16" s="44" t="s">
        <v>33</v>
      </c>
      <c r="B16" s="39"/>
      <c r="C16" s="40"/>
      <c r="D16" s="41"/>
      <c r="E16" s="42"/>
      <c r="F16" s="41"/>
      <c r="G16" s="43"/>
      <c r="H16" s="43"/>
      <c r="J16" s="150"/>
      <c r="L16" s="149"/>
    </row>
    <row r="17" spans="1:11" ht="16.75" customHeight="1" x14ac:dyDescent="0.2">
      <c r="A17" s="44" t="s">
        <v>25</v>
      </c>
      <c r="B17" s="39"/>
      <c r="C17" s="40"/>
      <c r="D17" s="41"/>
      <c r="E17" s="42"/>
      <c r="F17" s="41"/>
      <c r="G17" s="43"/>
      <c r="H17" s="43"/>
      <c r="J17" s="144"/>
      <c r="K17" s="144"/>
    </row>
    <row r="18" spans="1:11" ht="16.75" customHeight="1" x14ac:dyDescent="0.2">
      <c r="A18" s="44" t="s">
        <v>26</v>
      </c>
      <c r="B18" s="39"/>
      <c r="C18" s="40"/>
      <c r="D18" s="41"/>
      <c r="E18" s="42"/>
      <c r="F18" s="41"/>
      <c r="G18" s="43"/>
      <c r="H18" s="43"/>
      <c r="J18" s="144"/>
      <c r="K18" s="144"/>
    </row>
    <row r="19" spans="1:11" ht="16.75" customHeight="1" x14ac:dyDescent="0.2">
      <c r="A19" s="44" t="s">
        <v>28</v>
      </c>
      <c r="B19" s="39"/>
      <c r="C19" s="40"/>
      <c r="D19" s="41"/>
      <c r="E19" s="42"/>
      <c r="F19" s="41"/>
      <c r="G19" s="43"/>
      <c r="H19" s="43"/>
      <c r="J19" s="144"/>
      <c r="K19" s="144"/>
    </row>
    <row r="20" spans="1:11" ht="34.25" customHeight="1" x14ac:dyDescent="0.2">
      <c r="A20" s="165" t="s">
        <v>29</v>
      </c>
      <c r="B20" s="165"/>
      <c r="C20" s="165"/>
      <c r="D20" s="165"/>
      <c r="E20" s="165"/>
      <c r="F20" s="165"/>
      <c r="G20" s="165"/>
      <c r="H20" s="165"/>
      <c r="J20" s="144"/>
      <c r="K20" s="144"/>
    </row>
    <row r="21" spans="1:11" s="14" customFormat="1" x14ac:dyDescent="0.2"/>
    <row r="22" spans="1:11" s="14" customFormat="1" x14ac:dyDescent="0.2"/>
    <row r="23" spans="1:11" s="14" customFormat="1" ht="16" thickBot="1" x14ac:dyDescent="0.25">
      <c r="A23" s="161" t="s">
        <v>12</v>
      </c>
      <c r="B23" s="161"/>
      <c r="D23" s="161" t="s">
        <v>108</v>
      </c>
      <c r="E23" s="161"/>
      <c r="G23" s="161" t="s">
        <v>13</v>
      </c>
      <c r="H23" s="161"/>
    </row>
    <row r="24" spans="1:11" s="14" customFormat="1" x14ac:dyDescent="0.2">
      <c r="A24" s="45">
        <v>230000</v>
      </c>
      <c r="B24" s="46">
        <f>+D7</f>
        <v>54000</v>
      </c>
      <c r="C24" s="59" t="s">
        <v>32</v>
      </c>
      <c r="D24" s="45">
        <f>+C10</f>
        <v>296840</v>
      </c>
      <c r="E24" s="46">
        <f>+D31+D32+D33+D34</f>
        <v>401240</v>
      </c>
      <c r="G24" s="45">
        <f>E24</f>
        <v>401240</v>
      </c>
      <c r="H24" s="46">
        <f>+G24/25*10</f>
        <v>160496</v>
      </c>
    </row>
    <row r="25" spans="1:11" s="14" customFormat="1" x14ac:dyDescent="0.2">
      <c r="A25" s="47"/>
      <c r="B25" s="48">
        <f>+F7</f>
        <v>96000</v>
      </c>
      <c r="D25" s="47">
        <f>+D7+F7</f>
        <v>150000</v>
      </c>
      <c r="E25" s="48"/>
      <c r="G25" s="47"/>
      <c r="H25" s="49">
        <f>G24-H24</f>
        <v>240744</v>
      </c>
      <c r="I25" s="50" t="s">
        <v>14</v>
      </c>
    </row>
    <row r="26" spans="1:11" s="14" customFormat="1" x14ac:dyDescent="0.2">
      <c r="A26" s="47"/>
      <c r="B26" s="49">
        <f>A24-B24-B25</f>
        <v>80000</v>
      </c>
      <c r="C26" s="50" t="s">
        <v>14</v>
      </c>
      <c r="D26" s="47">
        <f>+D8+F8</f>
        <v>52000</v>
      </c>
      <c r="E26" s="48"/>
      <c r="G26" s="47"/>
      <c r="H26" s="48"/>
    </row>
    <row r="27" spans="1:11" s="14" customFormat="1" x14ac:dyDescent="0.2">
      <c r="D27" s="47">
        <f>+E39+E40</f>
        <v>93600</v>
      </c>
      <c r="E27" s="49">
        <f>+D24+D25+D26+D27-E24</f>
        <v>191200</v>
      </c>
      <c r="F27" s="50" t="s">
        <v>14</v>
      </c>
      <c r="G27" s="36"/>
      <c r="H27" s="36"/>
    </row>
    <row r="28" spans="1:11" s="14" customFormat="1" ht="16" thickBot="1" x14ac:dyDescent="0.25">
      <c r="D28" s="47"/>
      <c r="E28" s="48"/>
      <c r="G28" s="161" t="s">
        <v>15</v>
      </c>
      <c r="H28" s="161"/>
    </row>
    <row r="29" spans="1:11" s="14" customFormat="1" ht="16" thickBot="1" x14ac:dyDescent="0.25">
      <c r="A29" s="161" t="s">
        <v>105</v>
      </c>
      <c r="B29" s="161"/>
      <c r="G29" s="45">
        <f>H24</f>
        <v>160496</v>
      </c>
      <c r="H29" s="46"/>
    </row>
    <row r="30" spans="1:11" s="14" customFormat="1" x14ac:dyDescent="0.2">
      <c r="A30" s="45"/>
      <c r="B30" s="46">
        <v>18000</v>
      </c>
      <c r="D30" s="15" t="s">
        <v>18</v>
      </c>
      <c r="E30" s="15" t="s">
        <v>6</v>
      </c>
      <c r="F30" s="60" t="s">
        <v>34</v>
      </c>
      <c r="G30" s="62">
        <f>+E41</f>
        <v>6400</v>
      </c>
      <c r="H30" s="48"/>
    </row>
    <row r="31" spans="1:11" s="14" customFormat="1" x14ac:dyDescent="0.2">
      <c r="A31" s="47"/>
      <c r="B31" s="48">
        <v>34000</v>
      </c>
      <c r="D31" s="55">
        <f>+C10</f>
        <v>296840</v>
      </c>
      <c r="E31" s="55"/>
      <c r="G31" s="47"/>
      <c r="H31" s="48"/>
    </row>
    <row r="32" spans="1:11" s="14" customFormat="1" x14ac:dyDescent="0.2">
      <c r="A32" s="47"/>
      <c r="B32" s="48"/>
      <c r="D32" s="56">
        <f>+B24</f>
        <v>54000</v>
      </c>
      <c r="E32" s="56">
        <f>+F7</f>
        <v>96000</v>
      </c>
      <c r="F32" s="14" t="s">
        <v>35</v>
      </c>
      <c r="G32" s="61">
        <f>SUM(G29:G31)</f>
        <v>166896</v>
      </c>
    </row>
    <row r="33" spans="1:8" s="14" customFormat="1" ht="16" thickBot="1" x14ac:dyDescent="0.25">
      <c r="D33" s="56">
        <f>+D8</f>
        <v>18000</v>
      </c>
      <c r="E33" s="56">
        <f>+F8</f>
        <v>34000</v>
      </c>
      <c r="G33" s="161" t="s">
        <v>16</v>
      </c>
      <c r="H33" s="161"/>
    </row>
    <row r="34" spans="1:8" s="14" customFormat="1" x14ac:dyDescent="0.2">
      <c r="D34" s="56">
        <f>+E39</f>
        <v>32400</v>
      </c>
      <c r="E34" s="56">
        <f>+E40</f>
        <v>61200</v>
      </c>
      <c r="F34" s="50"/>
      <c r="G34" s="45"/>
      <c r="H34" s="46">
        <f>G39</f>
        <v>250000</v>
      </c>
    </row>
    <row r="35" spans="1:8" s="14" customFormat="1" ht="16" thickBot="1" x14ac:dyDescent="0.25">
      <c r="A35" s="161" t="s">
        <v>119</v>
      </c>
      <c r="B35" s="161"/>
      <c r="D35" s="29"/>
      <c r="E35" s="29"/>
      <c r="G35" s="47"/>
      <c r="H35" s="48"/>
    </row>
    <row r="36" spans="1:8" s="14" customFormat="1" x14ac:dyDescent="0.2">
      <c r="A36" s="45"/>
      <c r="B36" s="46">
        <f>+D39</f>
        <v>100000</v>
      </c>
      <c r="G36" s="47"/>
      <c r="H36" s="48"/>
    </row>
    <row r="37" spans="1:8" s="14" customFormat="1" x14ac:dyDescent="0.2">
      <c r="A37" s="47"/>
      <c r="B37" s="48"/>
    </row>
    <row r="38" spans="1:8" s="14" customFormat="1" ht="17" thickBot="1" x14ac:dyDescent="0.25">
      <c r="A38" s="100"/>
      <c r="B38" s="101"/>
      <c r="D38" s="161" t="s">
        <v>10</v>
      </c>
      <c r="E38" s="161"/>
      <c r="G38" s="161" t="s">
        <v>106</v>
      </c>
      <c r="H38" s="161"/>
    </row>
    <row r="39" spans="1:8" s="14" customFormat="1" x14ac:dyDescent="0.2">
      <c r="D39" s="45">
        <v>100000</v>
      </c>
      <c r="E39" s="46">
        <f>+B30*E43</f>
        <v>32400</v>
      </c>
      <c r="G39" s="45">
        <f>25000*10</f>
        <v>250000</v>
      </c>
      <c r="H39" s="46"/>
    </row>
    <row r="40" spans="1:8" s="14" customFormat="1" x14ac:dyDescent="0.2">
      <c r="D40" s="47"/>
      <c r="E40" s="48">
        <f>+B31*E43</f>
        <v>61200</v>
      </c>
      <c r="G40" s="47"/>
      <c r="H40" s="48"/>
    </row>
    <row r="41" spans="1:8" s="14" customFormat="1" x14ac:dyDescent="0.2">
      <c r="C41" s="60"/>
      <c r="D41" s="54"/>
      <c r="E41" s="49">
        <f>+D39-E39-E40</f>
        <v>6400</v>
      </c>
      <c r="F41" s="50" t="s">
        <v>34</v>
      </c>
      <c r="G41" s="47"/>
      <c r="H41" s="48"/>
    </row>
    <row r="42" spans="1:8" s="14" customFormat="1" x14ac:dyDescent="0.2"/>
    <row r="43" spans="1:8" s="14" customFormat="1" x14ac:dyDescent="0.2">
      <c r="D43" s="57" t="s">
        <v>21</v>
      </c>
      <c r="E43" s="58">
        <f>+C9/C8</f>
        <v>1.8</v>
      </c>
    </row>
    <row r="44" spans="1:8" s="14" customFormat="1" x14ac:dyDescent="0.2"/>
    <row r="45" spans="1:8" s="14" customFormat="1" x14ac:dyDescent="0.2"/>
  </sheetData>
  <mergeCells count="14">
    <mergeCell ref="A23:B23"/>
    <mergeCell ref="D23:E23"/>
    <mergeCell ref="G23:H23"/>
    <mergeCell ref="A2:H2"/>
    <mergeCell ref="A3:H3"/>
    <mergeCell ref="C5:D5"/>
    <mergeCell ref="E5:F5"/>
    <mergeCell ref="A20:H20"/>
    <mergeCell ref="G28:H28"/>
    <mergeCell ref="A29:B29"/>
    <mergeCell ref="G33:H33"/>
    <mergeCell ref="D38:E38"/>
    <mergeCell ref="G38:H38"/>
    <mergeCell ref="A35:B35"/>
  </mergeCells>
  <pageMargins left="0" right="0" top="0" bottom="0" header="0.31496062992125984" footer="0.31496062992125984"/>
  <pageSetup paperSize="9" scale="7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"/>
  <sheetViews>
    <sheetView showGridLines="0" topLeftCell="A37" zoomScale="115" zoomScaleNormal="100" workbookViewId="0">
      <selection activeCell="B6" sqref="B6"/>
    </sheetView>
  </sheetViews>
  <sheetFormatPr baseColWidth="10" defaultColWidth="8.83203125" defaultRowHeight="16" x14ac:dyDescent="0.2"/>
  <cols>
    <col min="1" max="1" width="60.5" style="3" customWidth="1"/>
    <col min="2" max="2" width="20" style="3" customWidth="1"/>
    <col min="3" max="3" width="19.6640625" style="3" customWidth="1"/>
    <col min="4" max="4" width="17.1640625" style="3" customWidth="1"/>
    <col min="5" max="5" width="12.33203125" style="3" customWidth="1"/>
    <col min="6" max="15" width="8.83203125" style="3" customWidth="1"/>
    <col min="16" max="16384" width="8.83203125" style="3"/>
  </cols>
  <sheetData>
    <row r="1" spans="1:5" s="4" customFormat="1" ht="24.5" customHeight="1" x14ac:dyDescent="0.2">
      <c r="A1" s="167" t="s">
        <v>37</v>
      </c>
      <c r="B1" s="167"/>
      <c r="C1" s="167"/>
      <c r="D1" s="167"/>
      <c r="E1" s="11"/>
    </row>
    <row r="2" spans="1:5" s="4" customFormat="1" x14ac:dyDescent="0.2">
      <c r="B2" s="5"/>
      <c r="C2" s="5"/>
      <c r="D2" s="5"/>
    </row>
    <row r="3" spans="1:5" x14ac:dyDescent="0.2">
      <c r="A3" s="168" t="s">
        <v>57</v>
      </c>
      <c r="B3" s="168"/>
      <c r="C3" s="168"/>
      <c r="D3" s="168"/>
      <c r="E3" s="168"/>
    </row>
    <row r="5" spans="1:5" s="4" customFormat="1" x14ac:dyDescent="0.2">
      <c r="A5" s="110" t="s">
        <v>85</v>
      </c>
      <c r="B5" s="110" t="s">
        <v>41</v>
      </c>
      <c r="C5" s="134" t="s">
        <v>45</v>
      </c>
      <c r="D5" s="110" t="s">
        <v>46</v>
      </c>
      <c r="E5" s="3"/>
    </row>
    <row r="6" spans="1:5" ht="17" x14ac:dyDescent="0.2">
      <c r="A6" s="109" t="s">
        <v>7</v>
      </c>
      <c r="B6" s="128">
        <v>7</v>
      </c>
      <c r="C6" s="135"/>
      <c r="D6" s="128">
        <v>105</v>
      </c>
    </row>
    <row r="7" spans="1:5" ht="17" x14ac:dyDescent="0.2">
      <c r="A7" s="109" t="s">
        <v>43</v>
      </c>
      <c r="B7" s="128">
        <v>28</v>
      </c>
      <c r="C7" s="135"/>
      <c r="D7" s="128">
        <v>336</v>
      </c>
    </row>
    <row r="8" spans="1:5" ht="17" x14ac:dyDescent="0.2">
      <c r="A8" s="109" t="s">
        <v>44</v>
      </c>
      <c r="B8" s="128">
        <v>8</v>
      </c>
      <c r="C8" s="135"/>
      <c r="D8" s="128">
        <v>96</v>
      </c>
    </row>
    <row r="9" spans="1:5" ht="17" x14ac:dyDescent="0.2">
      <c r="A9" s="113" t="s">
        <v>47</v>
      </c>
      <c r="B9" s="129"/>
      <c r="C9" s="129"/>
      <c r="D9" s="130">
        <f>SUM(D6:D8)</f>
        <v>537</v>
      </c>
    </row>
    <row r="10" spans="1:5" x14ac:dyDescent="0.2">
      <c r="A10" s="112"/>
      <c r="B10" s="112"/>
      <c r="C10" s="114"/>
    </row>
    <row r="11" spans="1:5" x14ac:dyDescent="0.2">
      <c r="A11" s="168" t="s">
        <v>96</v>
      </c>
      <c r="B11" s="168"/>
      <c r="C11" s="168"/>
      <c r="D11" s="168"/>
      <c r="E11" s="168"/>
    </row>
    <row r="12" spans="1:5" x14ac:dyDescent="0.2">
      <c r="A12" s="168" t="s">
        <v>120</v>
      </c>
      <c r="B12" s="168"/>
      <c r="C12" s="168"/>
      <c r="D12" s="168"/>
      <c r="E12" s="168"/>
    </row>
    <row r="13" spans="1:5" x14ac:dyDescent="0.2">
      <c r="A13" s="168" t="s">
        <v>121</v>
      </c>
      <c r="B13" s="168"/>
      <c r="C13" s="168"/>
      <c r="D13" s="168"/>
      <c r="E13" s="168"/>
    </row>
    <row r="15" spans="1:5" x14ac:dyDescent="0.2">
      <c r="A15" s="115" t="s">
        <v>48</v>
      </c>
      <c r="B15" s="66" t="s">
        <v>49</v>
      </c>
      <c r="D15" s="3" t="s">
        <v>130</v>
      </c>
      <c r="E15" s="3">
        <v>33750</v>
      </c>
    </row>
    <row r="16" spans="1:5" x14ac:dyDescent="0.2">
      <c r="A16" s="116" t="s">
        <v>50</v>
      </c>
      <c r="B16" s="117">
        <f>+B21*7.4</f>
        <v>3696300</v>
      </c>
      <c r="D16" s="3" t="s">
        <v>131</v>
      </c>
      <c r="E16" s="3">
        <v>37000</v>
      </c>
    </row>
    <row r="17" spans="1:5" x14ac:dyDescent="0.2">
      <c r="A17" s="116" t="s">
        <v>51</v>
      </c>
      <c r="B17" s="117">
        <v>12448000</v>
      </c>
      <c r="D17" s="3" t="s">
        <v>132</v>
      </c>
      <c r="E17" s="3">
        <v>1795000</v>
      </c>
    </row>
    <row r="18" spans="1:5" x14ac:dyDescent="0.2">
      <c r="A18" s="116" t="s">
        <v>52</v>
      </c>
      <c r="B18" s="117">
        <v>3260250</v>
      </c>
      <c r="D18" s="3" t="s">
        <v>133</v>
      </c>
      <c r="E18" s="3">
        <v>1890000</v>
      </c>
    </row>
    <row r="19" spans="1:5" x14ac:dyDescent="0.2">
      <c r="A19" s="65"/>
      <c r="B19" s="118"/>
    </row>
    <row r="20" spans="1:5" x14ac:dyDescent="0.2">
      <c r="A20" s="115" t="s">
        <v>53</v>
      </c>
      <c r="B20" s="119" t="s">
        <v>54</v>
      </c>
    </row>
    <row r="21" spans="1:5" x14ac:dyDescent="0.2">
      <c r="A21" s="116" t="s">
        <v>122</v>
      </c>
      <c r="B21" s="120">
        <v>499500</v>
      </c>
    </row>
    <row r="22" spans="1:5" x14ac:dyDescent="0.2">
      <c r="A22" s="116" t="s">
        <v>56</v>
      </c>
      <c r="B22" s="120">
        <v>388125</v>
      </c>
    </row>
    <row r="24" spans="1:5" x14ac:dyDescent="0.2">
      <c r="A24" s="166" t="s">
        <v>90</v>
      </c>
      <c r="B24" s="166"/>
      <c r="C24" s="166"/>
      <c r="D24" s="166"/>
      <c r="E24" s="166"/>
    </row>
    <row r="25" spans="1:5" x14ac:dyDescent="0.2">
      <c r="A25" s="166" t="s">
        <v>91</v>
      </c>
      <c r="B25" s="166"/>
      <c r="C25" s="166"/>
      <c r="D25" s="166"/>
      <c r="E25" s="166"/>
    </row>
    <row r="26" spans="1:5" x14ac:dyDescent="0.2">
      <c r="A26" s="166" t="s">
        <v>123</v>
      </c>
      <c r="B26" s="166"/>
      <c r="C26" s="166"/>
      <c r="D26" s="166"/>
      <c r="E26" s="166"/>
    </row>
    <row r="27" spans="1:5" x14ac:dyDescent="0.2">
      <c r="A27" s="166" t="s">
        <v>124</v>
      </c>
      <c r="B27" s="166"/>
      <c r="C27" s="166"/>
      <c r="D27" s="166"/>
      <c r="E27" s="166"/>
    </row>
    <row r="28" spans="1:5" x14ac:dyDescent="0.2">
      <c r="A28" s="166" t="s">
        <v>125</v>
      </c>
      <c r="B28" s="166"/>
      <c r="C28" s="166"/>
      <c r="D28" s="166"/>
      <c r="E28" s="166"/>
    </row>
    <row r="32" spans="1:5" x14ac:dyDescent="0.2">
      <c r="A32" s="121" t="s">
        <v>64</v>
      </c>
    </row>
    <row r="33" spans="1:3" x14ac:dyDescent="0.2">
      <c r="A33" s="122"/>
      <c r="B33" s="122"/>
    </row>
    <row r="34" spans="1:3" x14ac:dyDescent="0.2">
      <c r="A34" s="65" t="s">
        <v>7</v>
      </c>
      <c r="B34" s="123">
        <f>D6*$E$15</f>
        <v>3543750</v>
      </c>
    </row>
    <row r="35" spans="1:3" x14ac:dyDescent="0.2">
      <c r="A35" s="3" t="s">
        <v>58</v>
      </c>
      <c r="B35" s="123">
        <f t="shared" ref="B35:B36" si="0">D7*$E$15</f>
        <v>11340000</v>
      </c>
    </row>
    <row r="36" spans="1:3" x14ac:dyDescent="0.2">
      <c r="A36" s="3" t="s">
        <v>44</v>
      </c>
      <c r="B36" s="123">
        <f t="shared" si="0"/>
        <v>3240000</v>
      </c>
    </row>
    <row r="37" spans="1:3" x14ac:dyDescent="0.2">
      <c r="A37" s="3" t="s">
        <v>59</v>
      </c>
      <c r="B37" s="151">
        <f>E18</f>
        <v>1890000</v>
      </c>
    </row>
    <row r="38" spans="1:3" x14ac:dyDescent="0.2">
      <c r="A38" s="3" t="s">
        <v>127</v>
      </c>
      <c r="B38" s="152">
        <f>SUM(B34:B37)</f>
        <v>20013750</v>
      </c>
    </row>
    <row r="41" spans="1:3" x14ac:dyDescent="0.2">
      <c r="A41" s="121" t="s">
        <v>101</v>
      </c>
    </row>
    <row r="42" spans="1:3" x14ac:dyDescent="0.2">
      <c r="B42" s="121" t="s">
        <v>61</v>
      </c>
      <c r="C42" s="121" t="s">
        <v>126</v>
      </c>
    </row>
    <row r="43" spans="1:3" x14ac:dyDescent="0.2">
      <c r="A43" s="99" t="s">
        <v>98</v>
      </c>
      <c r="B43" s="153">
        <f>-(B38-D9*E16-E18)</f>
        <v>1745250</v>
      </c>
      <c r="C43" s="124" t="s">
        <v>84</v>
      </c>
    </row>
    <row r="44" spans="1:3" x14ac:dyDescent="0.2">
      <c r="A44" s="65"/>
    </row>
    <row r="47" spans="1:3" x14ac:dyDescent="0.2">
      <c r="A47" s="121" t="s">
        <v>66</v>
      </c>
    </row>
    <row r="48" spans="1:3" x14ac:dyDescent="0.2">
      <c r="A48" s="121"/>
      <c r="B48" s="121" t="s">
        <v>61</v>
      </c>
      <c r="C48" s="121" t="s">
        <v>126</v>
      </c>
    </row>
    <row r="49" spans="1:3" x14ac:dyDescent="0.2">
      <c r="A49" s="3" t="s">
        <v>92</v>
      </c>
      <c r="B49" s="154">
        <f>B21*(B6-B16/B21)</f>
        <v>-199800.00000000017</v>
      </c>
      <c r="C49" s="124" t="s">
        <v>76</v>
      </c>
    </row>
    <row r="50" spans="1:3" x14ac:dyDescent="0.2">
      <c r="A50" s="3" t="s">
        <v>93</v>
      </c>
      <c r="B50" s="154">
        <f>B6*(D6/B6*E15-B21)</f>
        <v>47250</v>
      </c>
      <c r="C50" s="124" t="s">
        <v>84</v>
      </c>
    </row>
    <row r="51" spans="1:3" x14ac:dyDescent="0.2">
      <c r="A51" s="121"/>
    </row>
    <row r="52" spans="1:3" x14ac:dyDescent="0.2">
      <c r="A52" s="121" t="s">
        <v>67</v>
      </c>
    </row>
    <row r="53" spans="1:3" x14ac:dyDescent="0.2">
      <c r="A53" s="121"/>
      <c r="B53" s="121" t="s">
        <v>61</v>
      </c>
      <c r="C53" s="121" t="s">
        <v>126</v>
      </c>
    </row>
    <row r="54" spans="1:3" x14ac:dyDescent="0.2">
      <c r="A54" s="3" t="s">
        <v>94</v>
      </c>
      <c r="B54" s="154">
        <f>B22*B8-B18</f>
        <v>-155250</v>
      </c>
      <c r="C54" s="124" t="s">
        <v>76</v>
      </c>
    </row>
    <row r="55" spans="1:3" x14ac:dyDescent="0.2">
      <c r="A55" s="3" t="s">
        <v>95</v>
      </c>
      <c r="B55" s="154">
        <f>B8*(D7/B7*E15-B22)</f>
        <v>135000</v>
      </c>
      <c r="C55" s="124" t="s">
        <v>84</v>
      </c>
    </row>
    <row r="56" spans="1:3" x14ac:dyDescent="0.2">
      <c r="A56" s="121"/>
    </row>
  </sheetData>
  <mergeCells count="10">
    <mergeCell ref="A1:D1"/>
    <mergeCell ref="A3:E3"/>
    <mergeCell ref="A11:E11"/>
    <mergeCell ref="A13:E13"/>
    <mergeCell ref="A12:E12"/>
    <mergeCell ref="A24:E24"/>
    <mergeCell ref="A25:E25"/>
    <mergeCell ref="A26:E26"/>
    <mergeCell ref="A27:E27"/>
    <mergeCell ref="A28:E28"/>
  </mergeCells>
  <conditionalFormatting sqref="B20">
    <cfRule type="expression" dxfId="20" priority="46">
      <formula>#REF!&lt;#REF!</formula>
    </cfRule>
  </conditionalFormatting>
  <conditionalFormatting sqref="B34:B36">
    <cfRule type="expression" dxfId="19" priority="45">
      <formula>#REF!&lt;#REF!</formula>
    </cfRule>
  </conditionalFormatting>
  <conditionalFormatting sqref="B41:B46">
    <cfRule type="expression" dxfId="18" priority="38">
      <formula>#REF!&lt;#REF!</formula>
    </cfRule>
  </conditionalFormatting>
  <conditionalFormatting sqref="B49:B50">
    <cfRule type="expression" dxfId="17" priority="41">
      <formula>#REF!&lt;#REF!</formula>
    </cfRule>
  </conditionalFormatting>
  <conditionalFormatting sqref="C42:C43">
    <cfRule type="expression" dxfId="16" priority="36">
      <formula>#REF!&lt;#REF!</formula>
    </cfRule>
  </conditionalFormatting>
  <conditionalFormatting sqref="C48:C50">
    <cfRule type="expression" dxfId="15" priority="32">
      <formula>#REF!&lt;#REF!</formula>
    </cfRule>
  </conditionalFormatting>
  <conditionalFormatting sqref="C53:C55">
    <cfRule type="expression" dxfId="14" priority="28">
      <formula>#REF!&lt;#REF!</formula>
    </cfRule>
  </conditionalFormatting>
  <pageMargins left="0.19685039370078741" right="0.19685039370078741" top="0.19685039370078741" bottom="0.19685039370078741" header="0.31496062992125984" footer="0.31496062992125984"/>
  <pageSetup paperSize="9" scale="73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M59"/>
  <sheetViews>
    <sheetView showGridLines="0" tabSelected="1" zoomScale="137" zoomScaleNormal="80" workbookViewId="0">
      <selection activeCell="B18" sqref="B18"/>
    </sheetView>
  </sheetViews>
  <sheetFormatPr baseColWidth="10" defaultColWidth="8.83203125" defaultRowHeight="16" x14ac:dyDescent="0.2"/>
  <cols>
    <col min="1" max="1" width="60.5" style="3" customWidth="1"/>
    <col min="2" max="2" width="20" style="3" customWidth="1"/>
    <col min="3" max="3" width="18.5" style="3" customWidth="1"/>
    <col min="4" max="7" width="12.33203125" style="3" customWidth="1"/>
    <col min="8" max="8" width="21.5" style="3" customWidth="1"/>
    <col min="9" max="9" width="21.1640625" style="3" customWidth="1"/>
    <col min="10" max="10" width="3.83203125" style="3" customWidth="1"/>
    <col min="11" max="11" width="21.5" style="3" customWidth="1"/>
    <col min="12" max="12" width="20.1640625" style="3" customWidth="1"/>
    <col min="13" max="13" width="8.83203125" style="3" customWidth="1"/>
    <col min="14" max="14" width="13.1640625" style="3" bestFit="1" customWidth="1"/>
    <col min="15" max="25" width="8.83203125" style="3" customWidth="1"/>
    <col min="26" max="16384" width="8.83203125" style="3"/>
  </cols>
  <sheetData>
    <row r="1" spans="1:13" s="4" customFormat="1" ht="24.5" customHeight="1" x14ac:dyDescent="0.2">
      <c r="A1" s="167" t="s">
        <v>37</v>
      </c>
      <c r="B1" s="167"/>
      <c r="C1" s="167"/>
      <c r="D1" s="167"/>
      <c r="E1" s="11"/>
      <c r="F1" s="11"/>
    </row>
    <row r="2" spans="1:13" s="4" customFormat="1" x14ac:dyDescent="0.2">
      <c r="B2" s="5"/>
      <c r="C2" s="5"/>
      <c r="D2" s="5"/>
    </row>
    <row r="3" spans="1:13" ht="45.5" customHeight="1" x14ac:dyDescent="0.2">
      <c r="A3" s="168" t="s">
        <v>57</v>
      </c>
      <c r="B3" s="168"/>
      <c r="C3" s="168"/>
      <c r="D3" s="168"/>
      <c r="E3" s="168"/>
      <c r="F3" s="138"/>
      <c r="G3" s="142"/>
      <c r="H3" s="10"/>
      <c r="I3" s="10"/>
      <c r="J3" s="10"/>
      <c r="K3" s="10"/>
    </row>
    <row r="4" spans="1:13" x14ac:dyDescent="0.2">
      <c r="I4" s="12"/>
      <c r="J4" s="12"/>
      <c r="K4" s="12"/>
      <c r="L4" s="12"/>
      <c r="M4" s="12"/>
    </row>
    <row r="5" spans="1:13" s="4" customFormat="1" x14ac:dyDescent="0.2">
      <c r="A5" s="110" t="s">
        <v>42</v>
      </c>
      <c r="B5" s="110" t="s">
        <v>41</v>
      </c>
      <c r="C5" s="110" t="s">
        <v>45</v>
      </c>
      <c r="D5" s="110" t="s">
        <v>46</v>
      </c>
      <c r="E5" s="3"/>
      <c r="F5" s="3"/>
      <c r="G5" s="3"/>
      <c r="J5" s="111"/>
      <c r="K5" s="110" t="s">
        <v>78</v>
      </c>
      <c r="L5" s="110" t="s">
        <v>79</v>
      </c>
    </row>
    <row r="6" spans="1:13" ht="17" x14ac:dyDescent="0.2">
      <c r="A6" s="109" t="s">
        <v>7</v>
      </c>
      <c r="B6" s="128">
        <v>7</v>
      </c>
      <c r="C6" s="141">
        <f>+D6/B6</f>
        <v>15</v>
      </c>
      <c r="D6" s="128">
        <v>105</v>
      </c>
      <c r="I6" s="131" t="s">
        <v>68</v>
      </c>
      <c r="J6" s="12"/>
      <c r="K6" s="127">
        <f>+B21/K34</f>
        <v>14.8</v>
      </c>
      <c r="L6" s="127">
        <f>+B16/B21</f>
        <v>7.4</v>
      </c>
    </row>
    <row r="7" spans="1:13" ht="17" x14ac:dyDescent="0.2">
      <c r="A7" s="109" t="s">
        <v>43</v>
      </c>
      <c r="B7" s="128">
        <v>28</v>
      </c>
      <c r="C7" s="141">
        <f>+D7/B7</f>
        <v>12</v>
      </c>
      <c r="D7" s="128">
        <v>336</v>
      </c>
      <c r="I7" s="131" t="s">
        <v>69</v>
      </c>
      <c r="J7" s="12"/>
      <c r="K7" s="127">
        <f>+B22/K34</f>
        <v>11.5</v>
      </c>
      <c r="L7" s="127"/>
    </row>
    <row r="8" spans="1:13" ht="17" x14ac:dyDescent="0.2">
      <c r="A8" s="109" t="s">
        <v>44</v>
      </c>
      <c r="B8" s="128">
        <v>8</v>
      </c>
      <c r="C8" s="141">
        <f>+D8/B8</f>
        <v>12</v>
      </c>
      <c r="D8" s="128">
        <v>96</v>
      </c>
      <c r="I8" s="131" t="s">
        <v>69</v>
      </c>
      <c r="K8" s="127">
        <f>+B22/K34</f>
        <v>11.5</v>
      </c>
      <c r="L8" s="127">
        <f>+B18/B22</f>
        <v>8.4</v>
      </c>
    </row>
    <row r="9" spans="1:13" ht="17" x14ac:dyDescent="0.2">
      <c r="A9" s="113" t="s">
        <v>47</v>
      </c>
      <c r="B9" s="129"/>
      <c r="C9" s="129"/>
      <c r="D9" s="130">
        <f>SUM(D6:D8)</f>
        <v>537</v>
      </c>
    </row>
    <row r="10" spans="1:13" x14ac:dyDescent="0.2">
      <c r="A10" s="112"/>
      <c r="B10" s="112"/>
      <c r="C10" s="114"/>
    </row>
    <row r="11" spans="1:13" x14ac:dyDescent="0.2">
      <c r="A11" s="168" t="s">
        <v>96</v>
      </c>
      <c r="B11" s="168"/>
      <c r="C11" s="168"/>
      <c r="D11" s="168"/>
      <c r="E11" s="168"/>
      <c r="F11" s="138"/>
      <c r="G11" s="142"/>
      <c r="H11" s="13"/>
      <c r="I11" s="13"/>
      <c r="J11" s="13"/>
      <c r="K11" s="13"/>
      <c r="L11" s="13"/>
    </row>
    <row r="12" spans="1:13" x14ac:dyDescent="0.2">
      <c r="A12" s="168" t="s">
        <v>89</v>
      </c>
      <c r="B12" s="168"/>
      <c r="C12" s="168"/>
      <c r="D12" s="168"/>
      <c r="E12" s="168"/>
      <c r="F12" s="138"/>
      <c r="G12" s="142"/>
    </row>
    <row r="13" spans="1:13" x14ac:dyDescent="0.2">
      <c r="A13" s="168" t="s">
        <v>97</v>
      </c>
      <c r="B13" s="168"/>
      <c r="C13" s="168"/>
      <c r="D13" s="168"/>
      <c r="E13" s="168"/>
      <c r="F13" s="138"/>
      <c r="G13" s="142"/>
    </row>
    <row r="14" spans="1:13" x14ac:dyDescent="0.2">
      <c r="A14" s="142"/>
      <c r="B14" s="142"/>
      <c r="C14" s="142"/>
      <c r="D14" s="142"/>
      <c r="E14" s="142"/>
      <c r="F14" s="142"/>
      <c r="G14" s="142"/>
    </row>
    <row r="15" spans="1:13" x14ac:dyDescent="0.2">
      <c r="A15" s="115" t="s">
        <v>48</v>
      </c>
      <c r="B15" s="66" t="s">
        <v>49</v>
      </c>
    </row>
    <row r="16" spans="1:13" x14ac:dyDescent="0.2">
      <c r="A16" s="116" t="s">
        <v>50</v>
      </c>
      <c r="B16" s="117">
        <f>+B21*7.4</f>
        <v>3696300</v>
      </c>
    </row>
    <row r="17" spans="1:7" x14ac:dyDescent="0.2">
      <c r="A17" s="116" t="s">
        <v>51</v>
      </c>
      <c r="B17" s="117">
        <v>12448000</v>
      </c>
    </row>
    <row r="18" spans="1:7" x14ac:dyDescent="0.2">
      <c r="A18" s="116" t="s">
        <v>52</v>
      </c>
      <c r="B18" s="117">
        <v>3260250</v>
      </c>
    </row>
    <row r="19" spans="1:7" x14ac:dyDescent="0.2">
      <c r="A19" s="65"/>
      <c r="B19" s="118"/>
    </row>
    <row r="20" spans="1:7" x14ac:dyDescent="0.2">
      <c r="A20" s="115" t="s">
        <v>53</v>
      </c>
      <c r="B20" s="119" t="s">
        <v>54</v>
      </c>
    </row>
    <row r="21" spans="1:7" x14ac:dyDescent="0.2">
      <c r="A21" s="116" t="s">
        <v>55</v>
      </c>
      <c r="B21" s="120">
        <v>499500</v>
      </c>
    </row>
    <row r="22" spans="1:7" x14ac:dyDescent="0.2">
      <c r="A22" s="116" t="s">
        <v>56</v>
      </c>
      <c r="B22" s="120">
        <v>388125</v>
      </c>
    </row>
    <row r="24" spans="1:7" x14ac:dyDescent="0.2">
      <c r="A24" s="166" t="s">
        <v>90</v>
      </c>
      <c r="B24" s="166"/>
      <c r="C24" s="166"/>
      <c r="D24" s="166"/>
      <c r="E24" s="166"/>
      <c r="F24" s="139"/>
      <c r="G24" s="140"/>
    </row>
    <row r="25" spans="1:7" x14ac:dyDescent="0.2">
      <c r="A25" s="166" t="s">
        <v>91</v>
      </c>
      <c r="B25" s="166"/>
      <c r="C25" s="166"/>
      <c r="D25" s="166"/>
      <c r="E25" s="166"/>
      <c r="F25" s="139"/>
      <c r="G25" s="140"/>
    </row>
    <row r="26" spans="1:7" x14ac:dyDescent="0.2">
      <c r="A26" s="166" t="s">
        <v>123</v>
      </c>
      <c r="B26" s="166"/>
      <c r="C26" s="166"/>
      <c r="D26" s="166"/>
      <c r="E26" s="166"/>
      <c r="F26" s="139"/>
      <c r="G26" s="140"/>
    </row>
    <row r="27" spans="1:7" x14ac:dyDescent="0.2">
      <c r="A27" s="166" t="s">
        <v>128</v>
      </c>
      <c r="B27" s="166"/>
      <c r="C27" s="166"/>
      <c r="D27" s="166"/>
      <c r="E27" s="166"/>
      <c r="F27" s="139"/>
      <c r="G27" s="140"/>
    </row>
    <row r="28" spans="1:7" x14ac:dyDescent="0.2">
      <c r="A28" s="166" t="s">
        <v>129</v>
      </c>
      <c r="B28" s="166"/>
      <c r="C28" s="166"/>
      <c r="D28" s="166"/>
      <c r="E28" s="166"/>
      <c r="F28" s="139"/>
      <c r="G28" s="140"/>
    </row>
    <row r="29" spans="1:7" x14ac:dyDescent="0.2">
      <c r="A29" s="140"/>
      <c r="B29" s="140"/>
      <c r="C29" s="140"/>
      <c r="D29" s="140"/>
      <c r="E29" s="140"/>
      <c r="F29" s="140"/>
      <c r="G29" s="140"/>
    </row>
    <row r="30" spans="1:7" x14ac:dyDescent="0.2">
      <c r="A30" s="140"/>
      <c r="B30" s="140"/>
      <c r="C30" s="140"/>
      <c r="D30" s="140"/>
      <c r="E30" s="140"/>
      <c r="F30" s="140"/>
      <c r="G30" s="140"/>
    </row>
    <row r="33" spans="1:12" x14ac:dyDescent="0.2">
      <c r="I33" s="3" t="s">
        <v>70</v>
      </c>
      <c r="K33" s="3" t="s">
        <v>75</v>
      </c>
      <c r="L33" s="3" t="s">
        <v>86</v>
      </c>
    </row>
    <row r="34" spans="1:12" x14ac:dyDescent="0.2">
      <c r="A34" s="121" t="s">
        <v>64</v>
      </c>
      <c r="E34" s="145"/>
      <c r="H34" s="3" t="s">
        <v>71</v>
      </c>
      <c r="I34" s="3">
        <v>37000</v>
      </c>
      <c r="K34" s="3">
        <v>33750</v>
      </c>
      <c r="L34" s="3">
        <f>+K34</f>
        <v>33750</v>
      </c>
    </row>
    <row r="35" spans="1:12" x14ac:dyDescent="0.2">
      <c r="A35" s="122"/>
      <c r="B35" s="122"/>
      <c r="E35" s="145"/>
    </row>
    <row r="36" spans="1:12" x14ac:dyDescent="0.2">
      <c r="A36" s="65" t="s">
        <v>7</v>
      </c>
      <c r="B36" s="123">
        <f>+K36</f>
        <v>3543750</v>
      </c>
      <c r="E36" s="145"/>
      <c r="H36" s="3" t="s">
        <v>72</v>
      </c>
      <c r="I36" s="125">
        <f>+$I$34*D6</f>
        <v>3885000</v>
      </c>
      <c r="K36" s="126">
        <f>+$K$34*D6</f>
        <v>3543750</v>
      </c>
      <c r="L36" s="125">
        <f>+B16</f>
        <v>3696300</v>
      </c>
    </row>
    <row r="37" spans="1:12" x14ac:dyDescent="0.2">
      <c r="A37" s="3" t="s">
        <v>58</v>
      </c>
      <c r="B37" s="123">
        <f t="shared" ref="B37:B39" si="0">+K37</f>
        <v>11340000</v>
      </c>
      <c r="E37" s="145"/>
      <c r="H37" s="3" t="s">
        <v>9</v>
      </c>
      <c r="I37" s="125">
        <f>+$I$34*D7</f>
        <v>12432000</v>
      </c>
      <c r="K37" s="126">
        <f>+$K$34*D7</f>
        <v>11340000</v>
      </c>
      <c r="L37" s="125">
        <f>+B17</f>
        <v>12448000</v>
      </c>
    </row>
    <row r="38" spans="1:12" x14ac:dyDescent="0.2">
      <c r="A38" s="3" t="s">
        <v>44</v>
      </c>
      <c r="B38" s="123">
        <f t="shared" si="0"/>
        <v>3240000</v>
      </c>
      <c r="E38" s="145"/>
      <c r="H38" s="3" t="s">
        <v>73</v>
      </c>
      <c r="I38" s="125">
        <f>+$I$34*D8</f>
        <v>3552000</v>
      </c>
      <c r="K38" s="126">
        <f>+$K$34*D8</f>
        <v>3240000</v>
      </c>
      <c r="L38" s="125">
        <f>+B18</f>
        <v>3260250</v>
      </c>
    </row>
    <row r="39" spans="1:12" x14ac:dyDescent="0.2">
      <c r="A39" s="3" t="s">
        <v>59</v>
      </c>
      <c r="B39" s="123">
        <f t="shared" si="0"/>
        <v>1890000</v>
      </c>
      <c r="E39" s="145"/>
      <c r="H39" s="3" t="s">
        <v>74</v>
      </c>
      <c r="I39" s="125">
        <v>1890000</v>
      </c>
      <c r="J39" s="125"/>
      <c r="K39" s="126">
        <f>+I39</f>
        <v>1890000</v>
      </c>
      <c r="L39" s="125">
        <v>1795000</v>
      </c>
    </row>
    <row r="40" spans="1:12" x14ac:dyDescent="0.2">
      <c r="A40" s="3" t="s">
        <v>60</v>
      </c>
      <c r="B40" s="143">
        <f>SUM(B36:B39)</f>
        <v>20013750</v>
      </c>
      <c r="E40" s="145"/>
      <c r="I40" s="132">
        <f>SUM(I36:I39)</f>
        <v>21759000</v>
      </c>
      <c r="J40" s="132"/>
      <c r="K40" s="133">
        <f t="shared" ref="K40:L40" si="1">SUM(K36:K39)</f>
        <v>20013750</v>
      </c>
      <c r="L40" s="132">
        <f t="shared" si="1"/>
        <v>21199550</v>
      </c>
    </row>
    <row r="41" spans="1:12" x14ac:dyDescent="0.2">
      <c r="E41" s="145"/>
    </row>
    <row r="42" spans="1:12" x14ac:dyDescent="0.2">
      <c r="E42" s="145"/>
      <c r="K42" s="125"/>
    </row>
    <row r="43" spans="1:12" x14ac:dyDescent="0.2">
      <c r="A43" s="121" t="s">
        <v>65</v>
      </c>
      <c r="E43" s="145"/>
      <c r="H43" s="121" t="s">
        <v>65</v>
      </c>
    </row>
    <row r="44" spans="1:12" x14ac:dyDescent="0.2">
      <c r="B44" s="121" t="s">
        <v>61</v>
      </c>
      <c r="C44" s="121" t="s">
        <v>63</v>
      </c>
      <c r="E44" s="145"/>
      <c r="I44" s="121" t="s">
        <v>61</v>
      </c>
      <c r="J44" s="121" t="s">
        <v>63</v>
      </c>
    </row>
    <row r="45" spans="1:12" x14ac:dyDescent="0.2">
      <c r="A45" s="65" t="s">
        <v>102</v>
      </c>
      <c r="B45" s="126">
        <f>+I45</f>
        <v>1745250</v>
      </c>
      <c r="C45" s="126" t="s">
        <v>84</v>
      </c>
      <c r="E45" s="145"/>
      <c r="H45" s="65" t="s">
        <v>62</v>
      </c>
      <c r="I45" s="126">
        <f>+I40-K40</f>
        <v>1745250</v>
      </c>
      <c r="J45" s="124" t="s">
        <v>84</v>
      </c>
    </row>
    <row r="46" spans="1:12" x14ac:dyDescent="0.2">
      <c r="A46" s="65"/>
      <c r="E46" s="145"/>
    </row>
    <row r="47" spans="1:12" x14ac:dyDescent="0.2">
      <c r="E47" s="145"/>
    </row>
    <row r="48" spans="1:12" x14ac:dyDescent="0.2">
      <c r="E48" s="145"/>
    </row>
    <row r="49" spans="1:10" x14ac:dyDescent="0.2">
      <c r="A49" s="121" t="s">
        <v>66</v>
      </c>
      <c r="E49" s="145"/>
      <c r="H49" s="121" t="s">
        <v>66</v>
      </c>
    </row>
    <row r="50" spans="1:10" x14ac:dyDescent="0.2">
      <c r="A50" s="121"/>
      <c r="B50" s="121"/>
      <c r="C50" s="121"/>
      <c r="E50" s="145"/>
      <c r="H50" s="121"/>
      <c r="I50" s="121" t="s">
        <v>61</v>
      </c>
      <c r="J50" s="121" t="s">
        <v>63</v>
      </c>
    </row>
    <row r="51" spans="1:10" x14ac:dyDescent="0.2">
      <c r="B51" s="121"/>
      <c r="C51" s="121"/>
      <c r="E51" s="145"/>
      <c r="H51" s="3" t="s">
        <v>77</v>
      </c>
      <c r="I51" s="126">
        <f>+K36-B16</f>
        <v>-152550</v>
      </c>
      <c r="J51" s="124" t="s">
        <v>76</v>
      </c>
    </row>
    <row r="52" spans="1:10" x14ac:dyDescent="0.2">
      <c r="A52" s="65"/>
      <c r="B52" s="121" t="s">
        <v>61</v>
      </c>
      <c r="C52" s="121" t="s">
        <v>63</v>
      </c>
      <c r="E52" s="145"/>
      <c r="H52" s="65"/>
    </row>
    <row r="53" spans="1:10" x14ac:dyDescent="0.2">
      <c r="A53" s="124" t="s">
        <v>83</v>
      </c>
      <c r="B53" s="126">
        <f>+I53</f>
        <v>47249.999999999833</v>
      </c>
      <c r="C53" s="126" t="str">
        <f>+J53</f>
        <v>F</v>
      </c>
      <c r="E53" s="145"/>
      <c r="H53" s="124" t="s">
        <v>83</v>
      </c>
      <c r="I53" s="126">
        <f>+K34*(C6-K6)*B6</f>
        <v>47249.999999999833</v>
      </c>
      <c r="J53" s="124" t="s">
        <v>84</v>
      </c>
    </row>
    <row r="54" spans="1:10" x14ac:dyDescent="0.2">
      <c r="A54" s="124" t="s">
        <v>80</v>
      </c>
      <c r="B54" s="126">
        <f>+I54</f>
        <v>-199800.00000000017</v>
      </c>
      <c r="C54" s="126" t="str">
        <f>+J54</f>
        <v>SF</v>
      </c>
      <c r="E54" s="145"/>
      <c r="H54" s="124" t="s">
        <v>80</v>
      </c>
      <c r="I54" s="126">
        <f>+K34*K6*(B6-L6)</f>
        <v>-199800.00000000017</v>
      </c>
      <c r="J54" s="124" t="s">
        <v>76</v>
      </c>
    </row>
    <row r="55" spans="1:10" x14ac:dyDescent="0.2">
      <c r="E55" s="145"/>
    </row>
    <row r="56" spans="1:10" x14ac:dyDescent="0.2">
      <c r="A56" s="121" t="s">
        <v>67</v>
      </c>
      <c r="E56" s="145"/>
      <c r="H56" s="121" t="s">
        <v>81</v>
      </c>
    </row>
    <row r="57" spans="1:10" x14ac:dyDescent="0.2">
      <c r="A57" s="121"/>
      <c r="B57" s="121" t="s">
        <v>61</v>
      </c>
      <c r="C57" s="121" t="s">
        <v>63</v>
      </c>
      <c r="E57" s="145"/>
      <c r="H57" s="121"/>
      <c r="I57" s="121" t="s">
        <v>61</v>
      </c>
      <c r="J57" s="121" t="s">
        <v>63</v>
      </c>
    </row>
    <row r="58" spans="1:10" x14ac:dyDescent="0.2">
      <c r="A58" s="124" t="s">
        <v>82</v>
      </c>
      <c r="B58" s="126">
        <f>+I58</f>
        <v>-155250.00000000015</v>
      </c>
      <c r="C58" s="126" t="str">
        <f>+J58</f>
        <v>SF</v>
      </c>
      <c r="E58" s="145"/>
      <c r="H58" s="124" t="s">
        <v>82</v>
      </c>
      <c r="I58" s="126">
        <f>+'Esercizio 2 soluzione'!B22*('Esercizio 2 soluzione'!B8-'Esercizio 2 soluzione'!L8)</f>
        <v>-155250.00000000015</v>
      </c>
      <c r="J58" s="124" t="s">
        <v>76</v>
      </c>
    </row>
    <row r="59" spans="1:10" x14ac:dyDescent="0.2">
      <c r="A59" s="124" t="s">
        <v>83</v>
      </c>
      <c r="B59" s="126">
        <f>+I59</f>
        <v>135000</v>
      </c>
      <c r="C59" s="126" t="str">
        <f>+J59</f>
        <v>F</v>
      </c>
      <c r="E59" s="145"/>
      <c r="H59" s="124" t="s">
        <v>83</v>
      </c>
      <c r="I59" s="126">
        <f>+K34*B8*(C8-K8)</f>
        <v>135000</v>
      </c>
      <c r="J59" s="124" t="s">
        <v>84</v>
      </c>
    </row>
  </sheetData>
  <mergeCells count="10">
    <mergeCell ref="A24:E24"/>
    <mergeCell ref="A25:E25"/>
    <mergeCell ref="A26:E26"/>
    <mergeCell ref="A27:E27"/>
    <mergeCell ref="A28:E28"/>
    <mergeCell ref="A1:D1"/>
    <mergeCell ref="A3:E3"/>
    <mergeCell ref="A11:E11"/>
    <mergeCell ref="A12:E12"/>
    <mergeCell ref="A13:E13"/>
  </mergeCells>
  <conditionalFormatting sqref="B20">
    <cfRule type="expression" dxfId="13" priority="46">
      <formula>#REF!&lt;#REF!</formula>
    </cfRule>
  </conditionalFormatting>
  <conditionalFormatting sqref="B36:B39">
    <cfRule type="expression" dxfId="12" priority="5">
      <formula>#REF!&lt;#REF!</formula>
    </cfRule>
  </conditionalFormatting>
  <conditionalFormatting sqref="B43:B48">
    <cfRule type="expression" dxfId="11" priority="38">
      <formula>#REF!&lt;#REF!</formula>
    </cfRule>
  </conditionalFormatting>
  <conditionalFormatting sqref="B53:B54">
    <cfRule type="expression" dxfId="10" priority="3">
      <formula>#REF!&lt;#REF!</formula>
    </cfRule>
  </conditionalFormatting>
  <conditionalFormatting sqref="C44:C45">
    <cfRule type="expression" dxfId="9" priority="4">
      <formula>#REF!&lt;#REF!</formula>
    </cfRule>
  </conditionalFormatting>
  <conditionalFormatting sqref="C50:C54">
    <cfRule type="expression" dxfId="8" priority="1">
      <formula>#REF!&lt;#REF!</formula>
    </cfRule>
  </conditionalFormatting>
  <conditionalFormatting sqref="C57">
    <cfRule type="expression" dxfId="7" priority="31">
      <formula>#REF!&lt;#REF!</formula>
    </cfRule>
  </conditionalFormatting>
  <conditionalFormatting sqref="I43:I45">
    <cfRule type="expression" dxfId="6" priority="23">
      <formula>#REF!&lt;#REF!</formula>
    </cfRule>
  </conditionalFormatting>
  <conditionalFormatting sqref="I51:I54">
    <cfRule type="expression" dxfId="5" priority="16">
      <formula>#REF!&lt;#REF!</formula>
    </cfRule>
  </conditionalFormatting>
  <conditionalFormatting sqref="I58:I59">
    <cfRule type="expression" dxfId="4" priority="11">
      <formula>#REF!&lt;#REF!</formula>
    </cfRule>
  </conditionalFormatting>
  <conditionalFormatting sqref="J44:J45">
    <cfRule type="expression" dxfId="3" priority="21">
      <formula>#REF!&lt;#REF!</formula>
    </cfRule>
  </conditionalFormatting>
  <conditionalFormatting sqref="J50:J51">
    <cfRule type="expression" dxfId="2" priority="10">
      <formula>#REF!&lt;#REF!</formula>
    </cfRule>
  </conditionalFormatting>
  <conditionalFormatting sqref="J53:J54">
    <cfRule type="expression" dxfId="1" priority="9">
      <formula>#REF!&lt;#REF!</formula>
    </cfRule>
  </conditionalFormatting>
  <conditionalFormatting sqref="J57:J59">
    <cfRule type="expression" dxfId="0" priority="7">
      <formula>#REF!&lt;#REF!</formula>
    </cfRule>
  </conditionalFormatting>
  <pageMargins left="0.19685039370078741" right="0.19685039370078741" top="0.19685039370078741" bottom="0.19685039370078741" header="0.31496062992125984" footer="0.31496062992125984"/>
  <pageSetup paperSize="9" scale="73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showGridLines="0" zoomScaleNormal="100" workbookViewId="0">
      <selection activeCell="N10" sqref="N10"/>
    </sheetView>
  </sheetViews>
  <sheetFormatPr baseColWidth="10" defaultColWidth="8.83203125" defaultRowHeight="15" x14ac:dyDescent="0.2"/>
  <sheetData>
    <row r="1" spans="1:11" s="4" customFormat="1" ht="16" x14ac:dyDescent="0.2">
      <c r="A1" s="167" t="s">
        <v>4</v>
      </c>
      <c r="B1" s="167"/>
      <c r="C1" s="167"/>
      <c r="D1" s="167"/>
      <c r="E1" s="11"/>
      <c r="F1" s="11"/>
      <c r="G1" s="11"/>
      <c r="H1" s="11"/>
      <c r="I1" s="11"/>
      <c r="J1" s="11"/>
      <c r="K1" s="11"/>
    </row>
    <row r="3" spans="1:11" s="3" customFormat="1" ht="54.5" customHeight="1" x14ac:dyDescent="0.2">
      <c r="A3" s="169" t="s">
        <v>99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</row>
    <row r="4" spans="1:11" ht="16" thickBot="1" x14ac:dyDescent="0.25"/>
    <row r="5" spans="1:11" x14ac:dyDescent="0.2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2"/>
    </row>
    <row r="6" spans="1:11" x14ac:dyDescent="0.2">
      <c r="A6" s="173"/>
      <c r="B6" s="174"/>
      <c r="C6" s="174"/>
      <c r="D6" s="174"/>
      <c r="E6" s="174"/>
      <c r="F6" s="174"/>
      <c r="G6" s="174"/>
      <c r="H6" s="174"/>
      <c r="I6" s="174"/>
      <c r="J6" s="174"/>
      <c r="K6" s="175"/>
    </row>
    <row r="7" spans="1:11" x14ac:dyDescent="0.2">
      <c r="A7" s="173"/>
      <c r="B7" s="174"/>
      <c r="C7" s="174"/>
      <c r="D7" s="174"/>
      <c r="E7" s="174"/>
      <c r="F7" s="174"/>
      <c r="G7" s="174"/>
      <c r="H7" s="174"/>
      <c r="I7" s="174"/>
      <c r="J7" s="174"/>
      <c r="K7" s="175"/>
    </row>
    <row r="8" spans="1:11" x14ac:dyDescent="0.2">
      <c r="A8" s="173"/>
      <c r="B8" s="174"/>
      <c r="C8" s="174"/>
      <c r="D8" s="174"/>
      <c r="E8" s="174"/>
      <c r="F8" s="174"/>
      <c r="G8" s="174"/>
      <c r="H8" s="174"/>
      <c r="I8" s="174"/>
      <c r="J8" s="174"/>
      <c r="K8" s="175"/>
    </row>
    <row r="9" spans="1:11" x14ac:dyDescent="0.2">
      <c r="A9" s="173"/>
      <c r="B9" s="174"/>
      <c r="C9" s="174"/>
      <c r="D9" s="174"/>
      <c r="E9" s="174"/>
      <c r="F9" s="174"/>
      <c r="G9" s="174"/>
      <c r="H9" s="174"/>
      <c r="I9" s="174"/>
      <c r="J9" s="174"/>
      <c r="K9" s="175"/>
    </row>
    <row r="10" spans="1:11" x14ac:dyDescent="0.2">
      <c r="A10" s="173"/>
      <c r="B10" s="174"/>
      <c r="C10" s="174"/>
      <c r="D10" s="174"/>
      <c r="E10" s="174"/>
      <c r="F10" s="174"/>
      <c r="G10" s="174"/>
      <c r="H10" s="174"/>
      <c r="I10" s="174"/>
      <c r="J10" s="174"/>
      <c r="K10" s="175"/>
    </row>
    <row r="11" spans="1:11" x14ac:dyDescent="0.2">
      <c r="A11" s="173"/>
      <c r="B11" s="174"/>
      <c r="C11" s="174"/>
      <c r="D11" s="174"/>
      <c r="E11" s="174"/>
      <c r="F11" s="174"/>
      <c r="G11" s="174"/>
      <c r="H11" s="174"/>
      <c r="I11" s="174"/>
      <c r="J11" s="174"/>
      <c r="K11" s="175"/>
    </row>
    <row r="12" spans="1:11" x14ac:dyDescent="0.2">
      <c r="A12" s="173"/>
      <c r="B12" s="174"/>
      <c r="C12" s="174"/>
      <c r="D12" s="174"/>
      <c r="E12" s="174"/>
      <c r="F12" s="174"/>
      <c r="G12" s="174"/>
      <c r="H12" s="174"/>
      <c r="I12" s="174"/>
      <c r="J12" s="174"/>
      <c r="K12" s="175"/>
    </row>
    <row r="13" spans="1:11" x14ac:dyDescent="0.2">
      <c r="A13" s="173"/>
      <c r="B13" s="174"/>
      <c r="C13" s="174"/>
      <c r="D13" s="174"/>
      <c r="E13" s="174"/>
      <c r="F13" s="174"/>
      <c r="G13" s="174"/>
      <c r="H13" s="174"/>
      <c r="I13" s="174"/>
      <c r="J13" s="174"/>
      <c r="K13" s="175"/>
    </row>
    <row r="14" spans="1:11" x14ac:dyDescent="0.2">
      <c r="A14" s="173"/>
      <c r="B14" s="174"/>
      <c r="C14" s="174"/>
      <c r="D14" s="174"/>
      <c r="E14" s="174"/>
      <c r="F14" s="174"/>
      <c r="G14" s="174"/>
      <c r="H14" s="174"/>
      <c r="I14" s="174"/>
      <c r="J14" s="174"/>
      <c r="K14" s="175"/>
    </row>
    <row r="15" spans="1:11" x14ac:dyDescent="0.2">
      <c r="A15" s="173"/>
      <c r="B15" s="174"/>
      <c r="C15" s="174"/>
      <c r="D15" s="174"/>
      <c r="E15" s="174"/>
      <c r="F15" s="174"/>
      <c r="G15" s="174"/>
      <c r="H15" s="174"/>
      <c r="I15" s="174"/>
      <c r="J15" s="174"/>
      <c r="K15" s="175"/>
    </row>
    <row r="16" spans="1:11" x14ac:dyDescent="0.2">
      <c r="A16" s="173"/>
      <c r="B16" s="174"/>
      <c r="C16" s="174"/>
      <c r="D16" s="174"/>
      <c r="E16" s="174"/>
      <c r="F16" s="174"/>
      <c r="G16" s="174"/>
      <c r="H16" s="174"/>
      <c r="I16" s="174"/>
      <c r="J16" s="174"/>
      <c r="K16" s="175"/>
    </row>
    <row r="17" spans="1:11" x14ac:dyDescent="0.2">
      <c r="A17" s="173"/>
      <c r="B17" s="174"/>
      <c r="C17" s="174"/>
      <c r="D17" s="174"/>
      <c r="E17" s="174"/>
      <c r="F17" s="174"/>
      <c r="G17" s="174"/>
      <c r="H17" s="174"/>
      <c r="I17" s="174"/>
      <c r="J17" s="174"/>
      <c r="K17" s="175"/>
    </row>
    <row r="18" spans="1:11" x14ac:dyDescent="0.2">
      <c r="A18" s="173"/>
      <c r="B18" s="174"/>
      <c r="C18" s="174"/>
      <c r="D18" s="174"/>
      <c r="E18" s="174"/>
      <c r="F18" s="174"/>
      <c r="G18" s="174"/>
      <c r="H18" s="174"/>
      <c r="I18" s="174"/>
      <c r="J18" s="174"/>
      <c r="K18" s="175"/>
    </row>
    <row r="19" spans="1:11" x14ac:dyDescent="0.2">
      <c r="A19" s="173"/>
      <c r="B19" s="174"/>
      <c r="C19" s="174"/>
      <c r="D19" s="174"/>
      <c r="E19" s="174"/>
      <c r="F19" s="174"/>
      <c r="G19" s="174"/>
      <c r="H19" s="174"/>
      <c r="I19" s="174"/>
      <c r="J19" s="174"/>
      <c r="K19" s="175"/>
    </row>
    <row r="20" spans="1:11" x14ac:dyDescent="0.2">
      <c r="A20" s="173"/>
      <c r="B20" s="174"/>
      <c r="C20" s="174"/>
      <c r="D20" s="174"/>
      <c r="E20" s="174"/>
      <c r="F20" s="174"/>
      <c r="G20" s="174"/>
      <c r="H20" s="174"/>
      <c r="I20" s="174"/>
      <c r="J20" s="174"/>
      <c r="K20" s="175"/>
    </row>
    <row r="21" spans="1:11" x14ac:dyDescent="0.2">
      <c r="A21" s="173"/>
      <c r="B21" s="174"/>
      <c r="C21" s="174"/>
      <c r="D21" s="174"/>
      <c r="E21" s="174"/>
      <c r="F21" s="174"/>
      <c r="G21" s="174"/>
      <c r="H21" s="174"/>
      <c r="I21" s="174"/>
      <c r="J21" s="174"/>
      <c r="K21" s="175"/>
    </row>
    <row r="22" spans="1:11" x14ac:dyDescent="0.2">
      <c r="A22" s="173"/>
      <c r="B22" s="174"/>
      <c r="C22" s="174"/>
      <c r="D22" s="174"/>
      <c r="E22" s="174"/>
      <c r="F22" s="174"/>
      <c r="G22" s="174"/>
      <c r="H22" s="174"/>
      <c r="I22" s="174"/>
      <c r="J22" s="174"/>
      <c r="K22" s="175"/>
    </row>
    <row r="23" spans="1:11" x14ac:dyDescent="0.2">
      <c r="A23" s="173"/>
      <c r="B23" s="174"/>
      <c r="C23" s="174"/>
      <c r="D23" s="174"/>
      <c r="E23" s="174"/>
      <c r="F23" s="174"/>
      <c r="G23" s="174"/>
      <c r="H23" s="174"/>
      <c r="I23" s="174"/>
      <c r="J23" s="174"/>
      <c r="K23" s="175"/>
    </row>
    <row r="24" spans="1:11" x14ac:dyDescent="0.2">
      <c r="A24" s="173"/>
      <c r="B24" s="174"/>
      <c r="C24" s="174"/>
      <c r="D24" s="174"/>
      <c r="E24" s="174"/>
      <c r="F24" s="174"/>
      <c r="G24" s="174"/>
      <c r="H24" s="174"/>
      <c r="I24" s="174"/>
      <c r="J24" s="174"/>
      <c r="K24" s="175"/>
    </row>
    <row r="25" spans="1:11" x14ac:dyDescent="0.2">
      <c r="A25" s="173"/>
      <c r="B25" s="174"/>
      <c r="C25" s="174"/>
      <c r="D25" s="174"/>
      <c r="E25" s="174"/>
      <c r="F25" s="174"/>
      <c r="G25" s="174"/>
      <c r="H25" s="174"/>
      <c r="I25" s="174"/>
      <c r="J25" s="174"/>
      <c r="K25" s="175"/>
    </row>
    <row r="26" spans="1:11" x14ac:dyDescent="0.2">
      <c r="A26" s="173"/>
      <c r="B26" s="174"/>
      <c r="C26" s="174"/>
      <c r="D26" s="174"/>
      <c r="E26" s="174"/>
      <c r="F26" s="174"/>
      <c r="G26" s="174"/>
      <c r="H26" s="174"/>
      <c r="I26" s="174"/>
      <c r="J26" s="174"/>
      <c r="K26" s="175"/>
    </row>
    <row r="27" spans="1:11" x14ac:dyDescent="0.2">
      <c r="A27" s="173"/>
      <c r="B27" s="174"/>
      <c r="C27" s="174"/>
      <c r="D27" s="174"/>
      <c r="E27" s="174"/>
      <c r="F27" s="174"/>
      <c r="G27" s="174"/>
      <c r="H27" s="174"/>
      <c r="I27" s="174"/>
      <c r="J27" s="174"/>
      <c r="K27" s="175"/>
    </row>
    <row r="28" spans="1:11" x14ac:dyDescent="0.2">
      <c r="A28" s="173"/>
      <c r="B28" s="174"/>
      <c r="C28" s="174"/>
      <c r="D28" s="174"/>
      <c r="E28" s="174"/>
      <c r="F28" s="174"/>
      <c r="G28" s="174"/>
      <c r="H28" s="174"/>
      <c r="I28" s="174"/>
      <c r="J28" s="174"/>
      <c r="K28" s="175"/>
    </row>
    <row r="29" spans="1:11" x14ac:dyDescent="0.2">
      <c r="A29" s="173"/>
      <c r="B29" s="174"/>
      <c r="C29" s="174"/>
      <c r="D29" s="174"/>
      <c r="E29" s="174"/>
      <c r="F29" s="174"/>
      <c r="G29" s="174"/>
      <c r="H29" s="174"/>
      <c r="I29" s="174"/>
      <c r="J29" s="174"/>
      <c r="K29" s="175"/>
    </row>
    <row r="30" spans="1:11" x14ac:dyDescent="0.2">
      <c r="A30" s="173"/>
      <c r="B30" s="174"/>
      <c r="C30" s="174"/>
      <c r="D30" s="174"/>
      <c r="E30" s="174"/>
      <c r="F30" s="174"/>
      <c r="G30" s="174"/>
      <c r="H30" s="174"/>
      <c r="I30" s="174"/>
      <c r="J30" s="174"/>
      <c r="K30" s="175"/>
    </row>
    <row r="31" spans="1:11" x14ac:dyDescent="0.2">
      <c r="A31" s="173"/>
      <c r="B31" s="174"/>
      <c r="C31" s="174"/>
      <c r="D31" s="174"/>
      <c r="E31" s="174"/>
      <c r="F31" s="174"/>
      <c r="G31" s="174"/>
      <c r="H31" s="174"/>
      <c r="I31" s="174"/>
      <c r="J31" s="174"/>
      <c r="K31" s="175"/>
    </row>
    <row r="32" spans="1:11" x14ac:dyDescent="0.2">
      <c r="A32" s="173"/>
      <c r="B32" s="174"/>
      <c r="C32" s="174"/>
      <c r="D32" s="174"/>
      <c r="E32" s="174"/>
      <c r="F32" s="174"/>
      <c r="G32" s="174"/>
      <c r="H32" s="174"/>
      <c r="I32" s="174"/>
      <c r="J32" s="174"/>
      <c r="K32" s="175"/>
    </row>
    <row r="33" spans="1:11" x14ac:dyDescent="0.2">
      <c r="A33" s="173"/>
      <c r="B33" s="174"/>
      <c r="C33" s="174"/>
      <c r="D33" s="174"/>
      <c r="E33" s="174"/>
      <c r="F33" s="174"/>
      <c r="G33" s="174"/>
      <c r="H33" s="174"/>
      <c r="I33" s="174"/>
      <c r="J33" s="174"/>
      <c r="K33" s="175"/>
    </row>
    <row r="34" spans="1:11" x14ac:dyDescent="0.2">
      <c r="A34" s="173"/>
      <c r="B34" s="174"/>
      <c r="C34" s="174"/>
      <c r="D34" s="174"/>
      <c r="E34" s="174"/>
      <c r="F34" s="174"/>
      <c r="G34" s="174"/>
      <c r="H34" s="174"/>
      <c r="I34" s="174"/>
      <c r="J34" s="174"/>
      <c r="K34" s="175"/>
    </row>
    <row r="35" spans="1:11" x14ac:dyDescent="0.2">
      <c r="A35" s="173"/>
      <c r="B35" s="174"/>
      <c r="C35" s="174"/>
      <c r="D35" s="174"/>
      <c r="E35" s="174"/>
      <c r="F35" s="174"/>
      <c r="G35" s="174"/>
      <c r="H35" s="174"/>
      <c r="I35" s="174"/>
      <c r="J35" s="174"/>
      <c r="K35" s="175"/>
    </row>
    <row r="36" spans="1:11" x14ac:dyDescent="0.2">
      <c r="A36" s="173"/>
      <c r="B36" s="174"/>
      <c r="C36" s="174"/>
      <c r="D36" s="174"/>
      <c r="E36" s="174"/>
      <c r="F36" s="174"/>
      <c r="G36" s="174"/>
      <c r="H36" s="174"/>
      <c r="I36" s="174"/>
      <c r="J36" s="174"/>
      <c r="K36" s="175"/>
    </row>
    <row r="37" spans="1:11" x14ac:dyDescent="0.2">
      <c r="A37" s="173"/>
      <c r="B37" s="174"/>
      <c r="C37" s="174"/>
      <c r="D37" s="174"/>
      <c r="E37" s="174"/>
      <c r="F37" s="174"/>
      <c r="G37" s="174"/>
      <c r="H37" s="174"/>
      <c r="I37" s="174"/>
      <c r="J37" s="174"/>
      <c r="K37" s="175"/>
    </row>
    <row r="38" spans="1:11" x14ac:dyDescent="0.2">
      <c r="A38" s="173"/>
      <c r="B38" s="174"/>
      <c r="C38" s="174"/>
      <c r="D38" s="174"/>
      <c r="E38" s="174"/>
      <c r="F38" s="174"/>
      <c r="G38" s="174"/>
      <c r="H38" s="174"/>
      <c r="I38" s="174"/>
      <c r="J38" s="174"/>
      <c r="K38" s="175"/>
    </row>
    <row r="39" spans="1:11" x14ac:dyDescent="0.2">
      <c r="A39" s="173"/>
      <c r="B39" s="174"/>
      <c r="C39" s="174"/>
      <c r="D39" s="174"/>
      <c r="E39" s="174"/>
      <c r="F39" s="174"/>
      <c r="G39" s="174"/>
      <c r="H39" s="174"/>
      <c r="I39" s="174"/>
      <c r="J39" s="174"/>
      <c r="K39" s="175"/>
    </row>
    <row r="40" spans="1:11" x14ac:dyDescent="0.2">
      <c r="A40" s="173"/>
      <c r="B40" s="174"/>
      <c r="C40" s="174"/>
      <c r="D40" s="174"/>
      <c r="E40" s="174"/>
      <c r="F40" s="174"/>
      <c r="G40" s="174"/>
      <c r="H40" s="174"/>
      <c r="I40" s="174"/>
      <c r="J40" s="174"/>
      <c r="K40" s="175"/>
    </row>
    <row r="41" spans="1:11" x14ac:dyDescent="0.2">
      <c r="A41" s="173"/>
      <c r="B41" s="174"/>
      <c r="C41" s="174"/>
      <c r="D41" s="174"/>
      <c r="E41" s="174"/>
      <c r="F41" s="174"/>
      <c r="G41" s="174"/>
      <c r="H41" s="174"/>
      <c r="I41" s="174"/>
      <c r="J41" s="174"/>
      <c r="K41" s="175"/>
    </row>
    <row r="42" spans="1:11" x14ac:dyDescent="0.2">
      <c r="A42" s="173"/>
      <c r="B42" s="174"/>
      <c r="C42" s="174"/>
      <c r="D42" s="174"/>
      <c r="E42" s="174"/>
      <c r="F42" s="174"/>
      <c r="G42" s="174"/>
      <c r="H42" s="174"/>
      <c r="I42" s="174"/>
      <c r="J42" s="174"/>
      <c r="K42" s="175"/>
    </row>
    <row r="43" spans="1:11" x14ac:dyDescent="0.2">
      <c r="A43" s="173"/>
      <c r="B43" s="174"/>
      <c r="C43" s="174"/>
      <c r="D43" s="174"/>
      <c r="E43" s="174"/>
      <c r="F43" s="174"/>
      <c r="G43" s="174"/>
      <c r="H43" s="174"/>
      <c r="I43" s="174"/>
      <c r="J43" s="174"/>
      <c r="K43" s="175"/>
    </row>
    <row r="44" spans="1:11" x14ac:dyDescent="0.2">
      <c r="A44" s="173"/>
      <c r="B44" s="174"/>
      <c r="C44" s="174"/>
      <c r="D44" s="174"/>
      <c r="E44" s="174"/>
      <c r="F44" s="174"/>
      <c r="G44" s="174"/>
      <c r="H44" s="174"/>
      <c r="I44" s="174"/>
      <c r="J44" s="174"/>
      <c r="K44" s="175"/>
    </row>
    <row r="45" spans="1:11" x14ac:dyDescent="0.2">
      <c r="A45" s="173"/>
      <c r="B45" s="174"/>
      <c r="C45" s="174"/>
      <c r="D45" s="174"/>
      <c r="E45" s="174"/>
      <c r="F45" s="174"/>
      <c r="G45" s="174"/>
      <c r="H45" s="174"/>
      <c r="I45" s="174"/>
      <c r="J45" s="174"/>
      <c r="K45" s="175"/>
    </row>
    <row r="46" spans="1:11" x14ac:dyDescent="0.2">
      <c r="A46" s="173"/>
      <c r="B46" s="174"/>
      <c r="C46" s="174"/>
      <c r="D46" s="174"/>
      <c r="E46" s="174"/>
      <c r="F46" s="174"/>
      <c r="G46" s="174"/>
      <c r="H46" s="174"/>
      <c r="I46" s="174"/>
      <c r="J46" s="174"/>
      <c r="K46" s="175"/>
    </row>
    <row r="47" spans="1:11" x14ac:dyDescent="0.2">
      <c r="A47" s="173"/>
      <c r="B47" s="174"/>
      <c r="C47" s="174"/>
      <c r="D47" s="174"/>
      <c r="E47" s="174"/>
      <c r="F47" s="174"/>
      <c r="G47" s="174"/>
      <c r="H47" s="174"/>
      <c r="I47" s="174"/>
      <c r="J47" s="174"/>
      <c r="K47" s="175"/>
    </row>
    <row r="48" spans="1:11" x14ac:dyDescent="0.2">
      <c r="A48" s="173"/>
      <c r="B48" s="174"/>
      <c r="C48" s="174"/>
      <c r="D48" s="174"/>
      <c r="E48" s="174"/>
      <c r="F48" s="174"/>
      <c r="G48" s="174"/>
      <c r="H48" s="174"/>
      <c r="I48" s="174"/>
      <c r="J48" s="174"/>
      <c r="K48" s="175"/>
    </row>
    <row r="49" spans="1:11" x14ac:dyDescent="0.2">
      <c r="A49" s="173"/>
      <c r="B49" s="174"/>
      <c r="C49" s="174"/>
      <c r="D49" s="174"/>
      <c r="E49" s="174"/>
      <c r="F49" s="174"/>
      <c r="G49" s="174"/>
      <c r="H49" s="174"/>
      <c r="I49" s="174"/>
      <c r="J49" s="174"/>
      <c r="K49" s="175"/>
    </row>
    <row r="50" spans="1:11" x14ac:dyDescent="0.2">
      <c r="A50" s="173"/>
      <c r="B50" s="174"/>
      <c r="C50" s="174"/>
      <c r="D50" s="174"/>
      <c r="E50" s="174"/>
      <c r="F50" s="174"/>
      <c r="G50" s="174"/>
      <c r="H50" s="174"/>
      <c r="I50" s="174"/>
      <c r="J50" s="174"/>
      <c r="K50" s="175"/>
    </row>
    <row r="51" spans="1:11" x14ac:dyDescent="0.2">
      <c r="A51" s="173"/>
      <c r="B51" s="174"/>
      <c r="C51" s="174"/>
      <c r="D51" s="174"/>
      <c r="E51" s="174"/>
      <c r="F51" s="174"/>
      <c r="G51" s="174"/>
      <c r="H51" s="174"/>
      <c r="I51" s="174"/>
      <c r="J51" s="174"/>
      <c r="K51" s="175"/>
    </row>
    <row r="52" spans="1:11" x14ac:dyDescent="0.2">
      <c r="A52" s="173"/>
      <c r="B52" s="174"/>
      <c r="C52" s="174"/>
      <c r="D52" s="174"/>
      <c r="E52" s="174"/>
      <c r="F52" s="174"/>
      <c r="G52" s="174"/>
      <c r="H52" s="174"/>
      <c r="I52" s="174"/>
      <c r="J52" s="174"/>
      <c r="K52" s="175"/>
    </row>
    <row r="53" spans="1:11" x14ac:dyDescent="0.2">
      <c r="A53" s="173"/>
      <c r="B53" s="174"/>
      <c r="C53" s="174"/>
      <c r="D53" s="174"/>
      <c r="E53" s="174"/>
      <c r="F53" s="174"/>
      <c r="G53" s="174"/>
      <c r="H53" s="174"/>
      <c r="I53" s="174"/>
      <c r="J53" s="174"/>
      <c r="K53" s="175"/>
    </row>
    <row r="54" spans="1:11" x14ac:dyDescent="0.2">
      <c r="A54" s="173"/>
      <c r="B54" s="174"/>
      <c r="C54" s="174"/>
      <c r="D54" s="174"/>
      <c r="E54" s="174"/>
      <c r="F54" s="174"/>
      <c r="G54" s="174"/>
      <c r="H54" s="174"/>
      <c r="I54" s="174"/>
      <c r="J54" s="174"/>
      <c r="K54" s="175"/>
    </row>
    <row r="55" spans="1:11" x14ac:dyDescent="0.2">
      <c r="A55" s="173"/>
      <c r="B55" s="174"/>
      <c r="C55" s="174"/>
      <c r="D55" s="174"/>
      <c r="E55" s="174"/>
      <c r="F55" s="174"/>
      <c r="G55" s="174"/>
      <c r="H55" s="174"/>
      <c r="I55" s="174"/>
      <c r="J55" s="174"/>
      <c r="K55" s="175"/>
    </row>
    <row r="56" spans="1:11" x14ac:dyDescent="0.2">
      <c r="A56" s="173"/>
      <c r="B56" s="174"/>
      <c r="C56" s="174"/>
      <c r="D56" s="174"/>
      <c r="E56" s="174"/>
      <c r="F56" s="174"/>
      <c r="G56" s="174"/>
      <c r="H56" s="174"/>
      <c r="I56" s="174"/>
      <c r="J56" s="174"/>
      <c r="K56" s="175"/>
    </row>
    <row r="57" spans="1:11" x14ac:dyDescent="0.2">
      <c r="A57" s="173"/>
      <c r="B57" s="174"/>
      <c r="C57" s="174"/>
      <c r="D57" s="174"/>
      <c r="E57" s="174"/>
      <c r="F57" s="174"/>
      <c r="G57" s="174"/>
      <c r="H57" s="174"/>
      <c r="I57" s="174"/>
      <c r="J57" s="174"/>
      <c r="K57" s="175"/>
    </row>
    <row r="58" spans="1:11" x14ac:dyDescent="0.2">
      <c r="A58" s="173"/>
      <c r="B58" s="174"/>
      <c r="C58" s="174"/>
      <c r="D58" s="174"/>
      <c r="E58" s="174"/>
      <c r="F58" s="174"/>
      <c r="G58" s="174"/>
      <c r="H58" s="174"/>
      <c r="I58" s="174"/>
      <c r="J58" s="174"/>
      <c r="K58" s="175"/>
    </row>
    <row r="59" spans="1:11" x14ac:dyDescent="0.2">
      <c r="A59" s="173"/>
      <c r="B59" s="174"/>
      <c r="C59" s="174"/>
      <c r="D59" s="174"/>
      <c r="E59" s="174"/>
      <c r="F59" s="174"/>
      <c r="G59" s="174"/>
      <c r="H59" s="174"/>
      <c r="I59" s="174"/>
      <c r="J59" s="174"/>
      <c r="K59" s="175"/>
    </row>
    <row r="60" spans="1:11" x14ac:dyDescent="0.2">
      <c r="A60" s="173"/>
      <c r="B60" s="174"/>
      <c r="C60" s="174"/>
      <c r="D60" s="174"/>
      <c r="E60" s="174"/>
      <c r="F60" s="174"/>
      <c r="G60" s="174"/>
      <c r="H60" s="174"/>
      <c r="I60" s="174"/>
      <c r="J60" s="174"/>
      <c r="K60" s="175"/>
    </row>
    <row r="61" spans="1:11" x14ac:dyDescent="0.2">
      <c r="A61" s="173"/>
      <c r="B61" s="174"/>
      <c r="C61" s="174"/>
      <c r="D61" s="174"/>
      <c r="E61" s="174"/>
      <c r="F61" s="174"/>
      <c r="G61" s="174"/>
      <c r="H61" s="174"/>
      <c r="I61" s="174"/>
      <c r="J61" s="174"/>
      <c r="K61" s="175"/>
    </row>
    <row r="62" spans="1:11" x14ac:dyDescent="0.2">
      <c r="A62" s="173"/>
      <c r="B62" s="174"/>
      <c r="C62" s="174"/>
      <c r="D62" s="174"/>
      <c r="E62" s="174"/>
      <c r="F62" s="174"/>
      <c r="G62" s="174"/>
      <c r="H62" s="174"/>
      <c r="I62" s="174"/>
      <c r="J62" s="174"/>
      <c r="K62" s="175"/>
    </row>
    <row r="63" spans="1:11" x14ac:dyDescent="0.2">
      <c r="A63" s="173"/>
      <c r="B63" s="174"/>
      <c r="C63" s="174"/>
      <c r="D63" s="174"/>
      <c r="E63" s="174"/>
      <c r="F63" s="174"/>
      <c r="G63" s="174"/>
      <c r="H63" s="174"/>
      <c r="I63" s="174"/>
      <c r="J63" s="174"/>
      <c r="K63" s="175"/>
    </row>
    <row r="64" spans="1:11" x14ac:dyDescent="0.2">
      <c r="A64" s="173"/>
      <c r="B64" s="174"/>
      <c r="C64" s="174"/>
      <c r="D64" s="174"/>
      <c r="E64" s="174"/>
      <c r="F64" s="174"/>
      <c r="G64" s="174"/>
      <c r="H64" s="174"/>
      <c r="I64" s="174"/>
      <c r="J64" s="174"/>
      <c r="K64" s="175"/>
    </row>
    <row r="65" spans="1:11" x14ac:dyDescent="0.2">
      <c r="A65" s="173"/>
      <c r="B65" s="174"/>
      <c r="C65" s="174"/>
      <c r="D65" s="174"/>
      <c r="E65" s="174"/>
      <c r="F65" s="174"/>
      <c r="G65" s="174"/>
      <c r="H65" s="174"/>
      <c r="I65" s="174"/>
      <c r="J65" s="174"/>
      <c r="K65" s="175"/>
    </row>
    <row r="66" spans="1:11" x14ac:dyDescent="0.2">
      <c r="A66" s="173"/>
      <c r="B66" s="174"/>
      <c r="C66" s="174"/>
      <c r="D66" s="174"/>
      <c r="E66" s="174"/>
      <c r="F66" s="174"/>
      <c r="G66" s="174"/>
      <c r="H66" s="174"/>
      <c r="I66" s="174"/>
      <c r="J66" s="174"/>
      <c r="K66" s="175"/>
    </row>
    <row r="67" spans="1:11" x14ac:dyDescent="0.2">
      <c r="A67" s="173"/>
      <c r="B67" s="174"/>
      <c r="C67" s="174"/>
      <c r="D67" s="174"/>
      <c r="E67" s="174"/>
      <c r="F67" s="174"/>
      <c r="G67" s="174"/>
      <c r="H67" s="174"/>
      <c r="I67" s="174"/>
      <c r="J67" s="174"/>
      <c r="K67" s="175"/>
    </row>
    <row r="68" spans="1:11" x14ac:dyDescent="0.2">
      <c r="A68" s="173"/>
      <c r="B68" s="174"/>
      <c r="C68" s="174"/>
      <c r="D68" s="174"/>
      <c r="E68" s="174"/>
      <c r="F68" s="174"/>
      <c r="G68" s="174"/>
      <c r="H68" s="174"/>
      <c r="I68" s="174"/>
      <c r="J68" s="174"/>
      <c r="K68" s="175"/>
    </row>
    <row r="69" spans="1:11" x14ac:dyDescent="0.2">
      <c r="A69" s="173"/>
      <c r="B69" s="174"/>
      <c r="C69" s="174"/>
      <c r="D69" s="174"/>
      <c r="E69" s="174"/>
      <c r="F69" s="174"/>
      <c r="G69" s="174"/>
      <c r="H69" s="174"/>
      <c r="I69" s="174"/>
      <c r="J69" s="174"/>
      <c r="K69" s="175"/>
    </row>
    <row r="70" spans="1:11" x14ac:dyDescent="0.2">
      <c r="A70" s="173"/>
      <c r="B70" s="174"/>
      <c r="C70" s="174"/>
      <c r="D70" s="174"/>
      <c r="E70" s="174"/>
      <c r="F70" s="174"/>
      <c r="G70" s="174"/>
      <c r="H70" s="174"/>
      <c r="I70" s="174"/>
      <c r="J70" s="174"/>
      <c r="K70" s="175"/>
    </row>
    <row r="71" spans="1:11" x14ac:dyDescent="0.2">
      <c r="A71" s="173"/>
      <c r="B71" s="174"/>
      <c r="C71" s="174"/>
      <c r="D71" s="174"/>
      <c r="E71" s="174"/>
      <c r="F71" s="174"/>
      <c r="G71" s="174"/>
      <c r="H71" s="174"/>
      <c r="I71" s="174"/>
      <c r="J71" s="174"/>
      <c r="K71" s="175"/>
    </row>
    <row r="72" spans="1:11" x14ac:dyDescent="0.2">
      <c r="A72" s="173"/>
      <c r="B72" s="174"/>
      <c r="C72" s="174"/>
      <c r="D72" s="174"/>
      <c r="E72" s="174"/>
      <c r="F72" s="174"/>
      <c r="G72" s="174"/>
      <c r="H72" s="174"/>
      <c r="I72" s="174"/>
      <c r="J72" s="174"/>
      <c r="K72" s="175"/>
    </row>
    <row r="73" spans="1:11" x14ac:dyDescent="0.2">
      <c r="A73" s="173"/>
      <c r="B73" s="174"/>
      <c r="C73" s="174"/>
      <c r="D73" s="174"/>
      <c r="E73" s="174"/>
      <c r="F73" s="174"/>
      <c r="G73" s="174"/>
      <c r="H73" s="174"/>
      <c r="I73" s="174"/>
      <c r="J73" s="174"/>
      <c r="K73" s="175"/>
    </row>
    <row r="74" spans="1:11" x14ac:dyDescent="0.2">
      <c r="A74" s="173"/>
      <c r="B74" s="174"/>
      <c r="C74" s="174"/>
      <c r="D74" s="174"/>
      <c r="E74" s="174"/>
      <c r="F74" s="174"/>
      <c r="G74" s="174"/>
      <c r="H74" s="174"/>
      <c r="I74" s="174"/>
      <c r="J74" s="174"/>
      <c r="K74" s="175"/>
    </row>
    <row r="75" spans="1:11" x14ac:dyDescent="0.2">
      <c r="A75" s="173"/>
      <c r="B75" s="174"/>
      <c r="C75" s="174"/>
      <c r="D75" s="174"/>
      <c r="E75" s="174"/>
      <c r="F75" s="174"/>
      <c r="G75" s="174"/>
      <c r="H75" s="174"/>
      <c r="I75" s="174"/>
      <c r="J75" s="174"/>
      <c r="K75" s="175"/>
    </row>
    <row r="76" spans="1:11" x14ac:dyDescent="0.2">
      <c r="A76" s="173"/>
      <c r="B76" s="174"/>
      <c r="C76" s="174"/>
      <c r="D76" s="174"/>
      <c r="E76" s="174"/>
      <c r="F76" s="174"/>
      <c r="G76" s="174"/>
      <c r="H76" s="174"/>
      <c r="I76" s="174"/>
      <c r="J76" s="174"/>
      <c r="K76" s="175"/>
    </row>
    <row r="77" spans="1:11" x14ac:dyDescent="0.2">
      <c r="A77" s="173"/>
      <c r="B77" s="174"/>
      <c r="C77" s="174"/>
      <c r="D77" s="174"/>
      <c r="E77" s="174"/>
      <c r="F77" s="174"/>
      <c r="G77" s="174"/>
      <c r="H77" s="174"/>
      <c r="I77" s="174"/>
      <c r="J77" s="174"/>
      <c r="K77" s="175"/>
    </row>
    <row r="78" spans="1:11" x14ac:dyDescent="0.2">
      <c r="A78" s="173"/>
      <c r="B78" s="174"/>
      <c r="C78" s="174"/>
      <c r="D78" s="174"/>
      <c r="E78" s="174"/>
      <c r="F78" s="174"/>
      <c r="G78" s="174"/>
      <c r="H78" s="174"/>
      <c r="I78" s="174"/>
      <c r="J78" s="174"/>
      <c r="K78" s="175"/>
    </row>
    <row r="79" spans="1:11" x14ac:dyDescent="0.2">
      <c r="A79" s="173"/>
      <c r="B79" s="174"/>
      <c r="C79" s="174"/>
      <c r="D79" s="174"/>
      <c r="E79" s="174"/>
      <c r="F79" s="174"/>
      <c r="G79" s="174"/>
      <c r="H79" s="174"/>
      <c r="I79" s="174"/>
      <c r="J79" s="174"/>
      <c r="K79" s="175"/>
    </row>
    <row r="80" spans="1:11" x14ac:dyDescent="0.2">
      <c r="A80" s="173"/>
      <c r="B80" s="174"/>
      <c r="C80" s="174"/>
      <c r="D80" s="174"/>
      <c r="E80" s="174"/>
      <c r="F80" s="174"/>
      <c r="G80" s="174"/>
      <c r="H80" s="174"/>
      <c r="I80" s="174"/>
      <c r="J80" s="174"/>
      <c r="K80" s="175"/>
    </row>
    <row r="81" spans="1:11" x14ac:dyDescent="0.2">
      <c r="A81" s="173"/>
      <c r="B81" s="174"/>
      <c r="C81" s="174"/>
      <c r="D81" s="174"/>
      <c r="E81" s="174"/>
      <c r="F81" s="174"/>
      <c r="G81" s="174"/>
      <c r="H81" s="174"/>
      <c r="I81" s="174"/>
      <c r="J81" s="174"/>
      <c r="K81" s="175"/>
    </row>
    <row r="82" spans="1:11" x14ac:dyDescent="0.2">
      <c r="A82" s="173"/>
      <c r="B82" s="174"/>
      <c r="C82" s="174"/>
      <c r="D82" s="174"/>
      <c r="E82" s="174"/>
      <c r="F82" s="174"/>
      <c r="G82" s="174"/>
      <c r="H82" s="174"/>
      <c r="I82" s="174"/>
      <c r="J82" s="174"/>
      <c r="K82" s="175"/>
    </row>
    <row r="83" spans="1:11" x14ac:dyDescent="0.2">
      <c r="A83" s="173"/>
      <c r="B83" s="174"/>
      <c r="C83" s="174"/>
      <c r="D83" s="174"/>
      <c r="E83" s="174"/>
      <c r="F83" s="174"/>
      <c r="G83" s="174"/>
      <c r="H83" s="174"/>
      <c r="I83" s="174"/>
      <c r="J83" s="174"/>
      <c r="K83" s="175"/>
    </row>
    <row r="84" spans="1:11" x14ac:dyDescent="0.2">
      <c r="A84" s="173"/>
      <c r="B84" s="174"/>
      <c r="C84" s="174"/>
      <c r="D84" s="174"/>
      <c r="E84" s="174"/>
      <c r="F84" s="174"/>
      <c r="G84" s="174"/>
      <c r="H84" s="174"/>
      <c r="I84" s="174"/>
      <c r="J84" s="174"/>
      <c r="K84" s="175"/>
    </row>
    <row r="85" spans="1:11" x14ac:dyDescent="0.2">
      <c r="A85" s="173"/>
      <c r="B85" s="174"/>
      <c r="C85" s="174"/>
      <c r="D85" s="174"/>
      <c r="E85" s="174"/>
      <c r="F85" s="174"/>
      <c r="G85" s="174"/>
      <c r="H85" s="174"/>
      <c r="I85" s="174"/>
      <c r="J85" s="174"/>
      <c r="K85" s="175"/>
    </row>
    <row r="86" spans="1:11" x14ac:dyDescent="0.2">
      <c r="A86" s="173"/>
      <c r="B86" s="174"/>
      <c r="C86" s="174"/>
      <c r="D86" s="174"/>
      <c r="E86" s="174"/>
      <c r="F86" s="174"/>
      <c r="G86" s="174"/>
      <c r="H86" s="174"/>
      <c r="I86" s="174"/>
      <c r="J86" s="174"/>
      <c r="K86" s="175"/>
    </row>
    <row r="87" spans="1:11" x14ac:dyDescent="0.2">
      <c r="A87" s="173"/>
      <c r="B87" s="174"/>
      <c r="C87" s="174"/>
      <c r="D87" s="174"/>
      <c r="E87" s="174"/>
      <c r="F87" s="174"/>
      <c r="G87" s="174"/>
      <c r="H87" s="174"/>
      <c r="I87" s="174"/>
      <c r="J87" s="174"/>
      <c r="K87" s="175"/>
    </row>
    <row r="88" spans="1:11" x14ac:dyDescent="0.2">
      <c r="A88" s="173"/>
      <c r="B88" s="174"/>
      <c r="C88" s="174"/>
      <c r="D88" s="174"/>
      <c r="E88" s="174"/>
      <c r="F88" s="174"/>
      <c r="G88" s="174"/>
      <c r="H88" s="174"/>
      <c r="I88" s="174"/>
      <c r="J88" s="174"/>
      <c r="K88" s="175"/>
    </row>
    <row r="89" spans="1:11" x14ac:dyDescent="0.2">
      <c r="A89" s="173"/>
      <c r="B89" s="174"/>
      <c r="C89" s="174"/>
      <c r="D89" s="174"/>
      <c r="E89" s="174"/>
      <c r="F89" s="174"/>
      <c r="G89" s="174"/>
      <c r="H89" s="174"/>
      <c r="I89" s="174"/>
      <c r="J89" s="174"/>
      <c r="K89" s="175"/>
    </row>
    <row r="90" spans="1:11" x14ac:dyDescent="0.2">
      <c r="A90" s="173"/>
      <c r="B90" s="174"/>
      <c r="C90" s="174"/>
      <c r="D90" s="174"/>
      <c r="E90" s="174"/>
      <c r="F90" s="174"/>
      <c r="G90" s="174"/>
      <c r="H90" s="174"/>
      <c r="I90" s="174"/>
      <c r="J90" s="174"/>
      <c r="K90" s="175"/>
    </row>
    <row r="91" spans="1:11" x14ac:dyDescent="0.2">
      <c r="A91" s="173"/>
      <c r="B91" s="174"/>
      <c r="C91" s="174"/>
      <c r="D91" s="174"/>
      <c r="E91" s="174"/>
      <c r="F91" s="174"/>
      <c r="G91" s="174"/>
      <c r="H91" s="174"/>
      <c r="I91" s="174"/>
      <c r="J91" s="174"/>
      <c r="K91" s="175"/>
    </row>
    <row r="92" spans="1:11" x14ac:dyDescent="0.2">
      <c r="A92" s="173"/>
      <c r="B92" s="174"/>
      <c r="C92" s="174"/>
      <c r="D92" s="174"/>
      <c r="E92" s="174"/>
      <c r="F92" s="174"/>
      <c r="G92" s="174"/>
      <c r="H92" s="174"/>
      <c r="I92" s="174"/>
      <c r="J92" s="174"/>
      <c r="K92" s="175"/>
    </row>
    <row r="93" spans="1:11" x14ac:dyDescent="0.2">
      <c r="A93" s="173"/>
      <c r="B93" s="174"/>
      <c r="C93" s="174"/>
      <c r="D93" s="174"/>
      <c r="E93" s="174"/>
      <c r="F93" s="174"/>
      <c r="G93" s="174"/>
      <c r="H93" s="174"/>
      <c r="I93" s="174"/>
      <c r="J93" s="174"/>
      <c r="K93" s="175"/>
    </row>
    <row r="94" spans="1:11" x14ac:dyDescent="0.2">
      <c r="A94" s="173"/>
      <c r="B94" s="174"/>
      <c r="C94" s="174"/>
      <c r="D94" s="174"/>
      <c r="E94" s="174"/>
      <c r="F94" s="174"/>
      <c r="G94" s="174"/>
      <c r="H94" s="174"/>
      <c r="I94" s="174"/>
      <c r="J94" s="174"/>
      <c r="K94" s="175"/>
    </row>
    <row r="95" spans="1:11" x14ac:dyDescent="0.2">
      <c r="A95" s="173"/>
      <c r="B95" s="174"/>
      <c r="C95" s="174"/>
      <c r="D95" s="174"/>
      <c r="E95" s="174"/>
      <c r="F95" s="174"/>
      <c r="G95" s="174"/>
      <c r="H95" s="174"/>
      <c r="I95" s="174"/>
      <c r="J95" s="174"/>
      <c r="K95" s="175"/>
    </row>
    <row r="96" spans="1:11" x14ac:dyDescent="0.2">
      <c r="A96" s="173"/>
      <c r="B96" s="174"/>
      <c r="C96" s="174"/>
      <c r="D96" s="174"/>
      <c r="E96" s="174"/>
      <c r="F96" s="174"/>
      <c r="G96" s="174"/>
      <c r="H96" s="174"/>
      <c r="I96" s="174"/>
      <c r="J96" s="174"/>
      <c r="K96" s="175"/>
    </row>
    <row r="97" spans="1:11" x14ac:dyDescent="0.2">
      <c r="A97" s="173"/>
      <c r="B97" s="174"/>
      <c r="C97" s="174"/>
      <c r="D97" s="174"/>
      <c r="E97" s="174"/>
      <c r="F97" s="174"/>
      <c r="G97" s="174"/>
      <c r="H97" s="174"/>
      <c r="I97" s="174"/>
      <c r="J97" s="174"/>
      <c r="K97" s="175"/>
    </row>
    <row r="98" spans="1:11" x14ac:dyDescent="0.2">
      <c r="A98" s="173"/>
      <c r="B98" s="174"/>
      <c r="C98" s="174"/>
      <c r="D98" s="174"/>
      <c r="E98" s="174"/>
      <c r="F98" s="174"/>
      <c r="G98" s="174"/>
      <c r="H98" s="174"/>
      <c r="I98" s="174"/>
      <c r="J98" s="174"/>
      <c r="K98" s="175"/>
    </row>
    <row r="99" spans="1:11" x14ac:dyDescent="0.2">
      <c r="A99" s="173"/>
      <c r="B99" s="174"/>
      <c r="C99" s="174"/>
      <c r="D99" s="174"/>
      <c r="E99" s="174"/>
      <c r="F99" s="174"/>
      <c r="G99" s="174"/>
      <c r="H99" s="174"/>
      <c r="I99" s="174"/>
      <c r="J99" s="174"/>
      <c r="K99" s="175"/>
    </row>
    <row r="100" spans="1:11" ht="16" thickBot="1" x14ac:dyDescent="0.25">
      <c r="A100" s="176"/>
      <c r="B100" s="177"/>
      <c r="C100" s="177"/>
      <c r="D100" s="177"/>
      <c r="E100" s="177"/>
      <c r="F100" s="177"/>
      <c r="G100" s="177"/>
      <c r="H100" s="177"/>
      <c r="I100" s="177"/>
      <c r="J100" s="177"/>
      <c r="K100" s="178"/>
    </row>
  </sheetData>
  <mergeCells count="3">
    <mergeCell ref="A3:K3"/>
    <mergeCell ref="A1:D1"/>
    <mergeCell ref="A5:K10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O36"/>
  <sheetViews>
    <sheetView showGridLines="0" zoomScale="120" zoomScaleNormal="120" workbookViewId="0">
      <selection activeCell="M1" sqref="M1:O3"/>
    </sheetView>
  </sheetViews>
  <sheetFormatPr baseColWidth="10" defaultColWidth="8.83203125" defaultRowHeight="15" x14ac:dyDescent="0.2"/>
  <sheetData>
    <row r="1" spans="1:15" s="4" customFormat="1" ht="16" x14ac:dyDescent="0.2">
      <c r="A1" s="167" t="s">
        <v>4</v>
      </c>
      <c r="B1" s="167"/>
      <c r="C1" s="167"/>
      <c r="D1" s="167"/>
      <c r="E1" s="11"/>
      <c r="F1" s="11"/>
      <c r="G1" s="11"/>
      <c r="H1" s="11"/>
      <c r="I1" s="11"/>
      <c r="J1" s="11"/>
      <c r="K1" s="11"/>
      <c r="M1" s="146"/>
    </row>
    <row r="2" spans="1:15" ht="5.25" customHeight="1" x14ac:dyDescent="0.2"/>
    <row r="3" spans="1:15" s="3" customFormat="1" ht="54.5" customHeight="1" thickBot="1" x14ac:dyDescent="0.25">
      <c r="A3" s="169" t="s">
        <v>99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M3" s="179"/>
      <c r="N3" s="179"/>
      <c r="O3" s="179"/>
    </row>
    <row r="4" spans="1:15" ht="16" hidden="1" thickBot="1" x14ac:dyDescent="0.25"/>
    <row r="5" spans="1:15" x14ac:dyDescent="0.2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2"/>
    </row>
    <row r="6" spans="1:15" x14ac:dyDescent="0.2">
      <c r="A6" s="173"/>
      <c r="B6" s="174"/>
      <c r="C6" s="174"/>
      <c r="D6" s="174"/>
      <c r="E6" s="174"/>
      <c r="F6" s="174"/>
      <c r="G6" s="174"/>
      <c r="H6" s="174"/>
      <c r="I6" s="174"/>
      <c r="J6" s="174"/>
      <c r="K6" s="175"/>
    </row>
    <row r="7" spans="1:15" x14ac:dyDescent="0.2">
      <c r="A7" s="173"/>
      <c r="B7" s="174"/>
      <c r="C7" s="174"/>
      <c r="D7" s="174"/>
      <c r="E7" s="174"/>
      <c r="F7" s="174"/>
      <c r="G7" s="174"/>
      <c r="H7" s="174"/>
      <c r="I7" s="174"/>
      <c r="J7" s="174"/>
      <c r="K7" s="175"/>
    </row>
    <row r="8" spans="1:15" x14ac:dyDescent="0.2">
      <c r="A8" s="173"/>
      <c r="B8" s="174"/>
      <c r="C8" s="174"/>
      <c r="D8" s="174"/>
      <c r="E8" s="174"/>
      <c r="F8" s="174"/>
      <c r="G8" s="174"/>
      <c r="H8" s="174"/>
      <c r="I8" s="174"/>
      <c r="J8" s="174"/>
      <c r="K8" s="175"/>
    </row>
    <row r="9" spans="1:15" x14ac:dyDescent="0.2">
      <c r="A9" s="173"/>
      <c r="B9" s="174"/>
      <c r="C9" s="174"/>
      <c r="D9" s="174"/>
      <c r="E9" s="174"/>
      <c r="F9" s="174"/>
      <c r="G9" s="174"/>
      <c r="H9" s="174"/>
      <c r="I9" s="174"/>
      <c r="J9" s="174"/>
      <c r="K9" s="175"/>
    </row>
    <row r="10" spans="1:15" x14ac:dyDescent="0.2">
      <c r="A10" s="173"/>
      <c r="B10" s="174"/>
      <c r="C10" s="174"/>
      <c r="D10" s="174"/>
      <c r="E10" s="174"/>
      <c r="F10" s="174"/>
      <c r="G10" s="174"/>
      <c r="H10" s="174"/>
      <c r="I10" s="174"/>
      <c r="J10" s="174"/>
      <c r="K10" s="175"/>
    </row>
    <row r="11" spans="1:15" x14ac:dyDescent="0.2">
      <c r="A11" s="173"/>
      <c r="B11" s="174"/>
      <c r="C11" s="174"/>
      <c r="D11" s="174"/>
      <c r="E11" s="174"/>
      <c r="F11" s="174"/>
      <c r="G11" s="174"/>
      <c r="H11" s="174"/>
      <c r="I11" s="174"/>
      <c r="J11" s="174"/>
      <c r="K11" s="175"/>
    </row>
    <row r="12" spans="1:15" x14ac:dyDescent="0.2">
      <c r="A12" s="173"/>
      <c r="B12" s="174"/>
      <c r="C12" s="174"/>
      <c r="D12" s="174"/>
      <c r="E12" s="174"/>
      <c r="F12" s="174"/>
      <c r="G12" s="174"/>
      <c r="H12" s="174"/>
      <c r="I12" s="174"/>
      <c r="J12" s="174"/>
      <c r="K12" s="175"/>
    </row>
    <row r="13" spans="1:15" x14ac:dyDescent="0.2">
      <c r="A13" s="173"/>
      <c r="B13" s="174"/>
      <c r="C13" s="174"/>
      <c r="D13" s="174"/>
      <c r="E13" s="174"/>
      <c r="F13" s="174"/>
      <c r="G13" s="174"/>
      <c r="H13" s="174"/>
      <c r="I13" s="174"/>
      <c r="J13" s="174"/>
      <c r="K13" s="175"/>
    </row>
    <row r="14" spans="1:15" x14ac:dyDescent="0.2">
      <c r="A14" s="173"/>
      <c r="B14" s="174"/>
      <c r="C14" s="174"/>
      <c r="D14" s="174"/>
      <c r="E14" s="174"/>
      <c r="F14" s="174"/>
      <c r="G14" s="174"/>
      <c r="H14" s="174"/>
      <c r="I14" s="174"/>
      <c r="J14" s="174"/>
      <c r="K14" s="175"/>
    </row>
    <row r="15" spans="1:15" x14ac:dyDescent="0.2">
      <c r="A15" s="173"/>
      <c r="B15" s="174"/>
      <c r="C15" s="174"/>
      <c r="D15" s="174"/>
      <c r="E15" s="174"/>
      <c r="F15" s="174"/>
      <c r="G15" s="174"/>
      <c r="H15" s="174"/>
      <c r="I15" s="174"/>
      <c r="J15" s="174"/>
      <c r="K15" s="175"/>
    </row>
    <row r="16" spans="1:15" x14ac:dyDescent="0.2">
      <c r="A16" s="173"/>
      <c r="B16" s="174"/>
      <c r="C16" s="174"/>
      <c r="D16" s="174"/>
      <c r="E16" s="174"/>
      <c r="F16" s="174"/>
      <c r="G16" s="174"/>
      <c r="H16" s="174"/>
      <c r="I16" s="174"/>
      <c r="J16" s="174"/>
      <c r="K16" s="175"/>
    </row>
    <row r="17" spans="1:11" x14ac:dyDescent="0.2">
      <c r="A17" s="173"/>
      <c r="B17" s="174"/>
      <c r="C17" s="174"/>
      <c r="D17" s="174"/>
      <c r="E17" s="174"/>
      <c r="F17" s="174"/>
      <c r="G17" s="174"/>
      <c r="H17" s="174"/>
      <c r="I17" s="174"/>
      <c r="J17" s="174"/>
      <c r="K17" s="175"/>
    </row>
    <row r="18" spans="1:11" x14ac:dyDescent="0.2">
      <c r="A18" s="173"/>
      <c r="B18" s="174"/>
      <c r="C18" s="174"/>
      <c r="D18" s="174"/>
      <c r="E18" s="174"/>
      <c r="F18" s="174"/>
      <c r="G18" s="174"/>
      <c r="H18" s="174"/>
      <c r="I18" s="174"/>
      <c r="J18" s="174"/>
      <c r="K18" s="175"/>
    </row>
    <row r="19" spans="1:11" x14ac:dyDescent="0.2">
      <c r="A19" s="173"/>
      <c r="B19" s="174"/>
      <c r="C19" s="174"/>
      <c r="D19" s="174"/>
      <c r="E19" s="174"/>
      <c r="F19" s="174"/>
      <c r="G19" s="174"/>
      <c r="H19" s="174"/>
      <c r="I19" s="174"/>
      <c r="J19" s="174"/>
      <c r="K19" s="175"/>
    </row>
    <row r="20" spans="1:11" x14ac:dyDescent="0.2">
      <c r="A20" s="173"/>
      <c r="B20" s="174"/>
      <c r="C20" s="174"/>
      <c r="D20" s="174"/>
      <c r="E20" s="174"/>
      <c r="F20" s="174"/>
      <c r="G20" s="174"/>
      <c r="H20" s="174"/>
      <c r="I20" s="174"/>
      <c r="J20" s="174"/>
      <c r="K20" s="175"/>
    </row>
    <row r="21" spans="1:11" x14ac:dyDescent="0.2">
      <c r="A21" s="173"/>
      <c r="B21" s="174"/>
      <c r="C21" s="174"/>
      <c r="D21" s="174"/>
      <c r="E21" s="174"/>
      <c r="F21" s="174"/>
      <c r="G21" s="174"/>
      <c r="H21" s="174"/>
      <c r="I21" s="174"/>
      <c r="J21" s="174"/>
      <c r="K21" s="175"/>
    </row>
    <row r="22" spans="1:11" x14ac:dyDescent="0.2">
      <c r="A22" s="173"/>
      <c r="B22" s="174"/>
      <c r="C22" s="174"/>
      <c r="D22" s="174"/>
      <c r="E22" s="174"/>
      <c r="F22" s="174"/>
      <c r="G22" s="174"/>
      <c r="H22" s="174"/>
      <c r="I22" s="174"/>
      <c r="J22" s="174"/>
      <c r="K22" s="175"/>
    </row>
    <row r="23" spans="1:11" x14ac:dyDescent="0.2">
      <c r="A23" s="173"/>
      <c r="B23" s="174"/>
      <c r="C23" s="174"/>
      <c r="D23" s="174"/>
      <c r="E23" s="174"/>
      <c r="F23" s="174"/>
      <c r="G23" s="174"/>
      <c r="H23" s="174"/>
      <c r="I23" s="174"/>
      <c r="J23" s="174"/>
      <c r="K23" s="175"/>
    </row>
    <row r="24" spans="1:11" x14ac:dyDescent="0.2">
      <c r="A24" s="173"/>
      <c r="B24" s="174"/>
      <c r="C24" s="174"/>
      <c r="D24" s="174"/>
      <c r="E24" s="174"/>
      <c r="F24" s="174"/>
      <c r="G24" s="174"/>
      <c r="H24" s="174"/>
      <c r="I24" s="174"/>
      <c r="J24" s="174"/>
      <c r="K24" s="175"/>
    </row>
    <row r="25" spans="1:11" x14ac:dyDescent="0.2">
      <c r="A25" s="173"/>
      <c r="B25" s="174"/>
      <c r="C25" s="174"/>
      <c r="D25" s="174"/>
      <c r="E25" s="174"/>
      <c r="F25" s="174"/>
      <c r="G25" s="174"/>
      <c r="H25" s="174"/>
      <c r="I25" s="174"/>
      <c r="J25" s="174"/>
      <c r="K25" s="175"/>
    </row>
    <row r="26" spans="1:11" x14ac:dyDescent="0.2">
      <c r="A26" s="173"/>
      <c r="B26" s="174"/>
      <c r="C26" s="174"/>
      <c r="D26" s="174"/>
      <c r="E26" s="174"/>
      <c r="F26" s="174"/>
      <c r="G26" s="174"/>
      <c r="H26" s="174"/>
      <c r="I26" s="174"/>
      <c r="J26" s="174"/>
      <c r="K26" s="175"/>
    </row>
    <row r="27" spans="1:11" x14ac:dyDescent="0.2">
      <c r="A27" s="173"/>
      <c r="B27" s="174"/>
      <c r="C27" s="174"/>
      <c r="D27" s="174"/>
      <c r="E27" s="174"/>
      <c r="F27" s="174"/>
      <c r="G27" s="174"/>
      <c r="H27" s="174"/>
      <c r="I27" s="174"/>
      <c r="J27" s="174"/>
      <c r="K27" s="175"/>
    </row>
    <row r="28" spans="1:11" x14ac:dyDescent="0.2">
      <c r="A28" s="173"/>
      <c r="B28" s="174"/>
      <c r="C28" s="174"/>
      <c r="D28" s="174"/>
      <c r="E28" s="174"/>
      <c r="F28" s="174"/>
      <c r="G28" s="174"/>
      <c r="H28" s="174"/>
      <c r="I28" s="174"/>
      <c r="J28" s="174"/>
      <c r="K28" s="175"/>
    </row>
    <row r="29" spans="1:11" x14ac:dyDescent="0.2">
      <c r="A29" s="173"/>
      <c r="B29" s="174"/>
      <c r="C29" s="174"/>
      <c r="D29" s="174"/>
      <c r="E29" s="174"/>
      <c r="F29" s="174"/>
      <c r="G29" s="174"/>
      <c r="H29" s="174"/>
      <c r="I29" s="174"/>
      <c r="J29" s="174"/>
      <c r="K29" s="175"/>
    </row>
    <row r="30" spans="1:11" x14ac:dyDescent="0.2">
      <c r="A30" s="173"/>
      <c r="B30" s="174"/>
      <c r="C30" s="174"/>
      <c r="D30" s="174"/>
      <c r="E30" s="174"/>
      <c r="F30" s="174"/>
      <c r="G30" s="174"/>
      <c r="H30" s="174"/>
      <c r="I30" s="174"/>
      <c r="J30" s="174"/>
      <c r="K30" s="175"/>
    </row>
    <row r="31" spans="1:11" x14ac:dyDescent="0.2">
      <c r="A31" s="173"/>
      <c r="B31" s="174"/>
      <c r="C31" s="174"/>
      <c r="D31" s="174"/>
      <c r="E31" s="174"/>
      <c r="F31" s="174"/>
      <c r="G31" s="174"/>
      <c r="H31" s="174"/>
      <c r="I31" s="174"/>
      <c r="J31" s="174"/>
      <c r="K31" s="175"/>
    </row>
    <row r="32" spans="1:11" x14ac:dyDescent="0.2">
      <c r="A32" s="173"/>
      <c r="B32" s="174"/>
      <c r="C32" s="174"/>
      <c r="D32" s="174"/>
      <c r="E32" s="174"/>
      <c r="F32" s="174"/>
      <c r="G32" s="174"/>
      <c r="H32" s="174"/>
      <c r="I32" s="174"/>
      <c r="J32" s="174"/>
      <c r="K32" s="175"/>
    </row>
    <row r="33" spans="1:11" x14ac:dyDescent="0.2">
      <c r="A33" s="173"/>
      <c r="B33" s="174"/>
      <c r="C33" s="174"/>
      <c r="D33" s="174"/>
      <c r="E33" s="174"/>
      <c r="F33" s="174"/>
      <c r="G33" s="174"/>
      <c r="H33" s="174"/>
      <c r="I33" s="174"/>
      <c r="J33" s="174"/>
      <c r="K33" s="175"/>
    </row>
    <row r="34" spans="1:11" x14ac:dyDescent="0.2">
      <c r="A34" s="173"/>
      <c r="B34" s="174"/>
      <c r="C34" s="174"/>
      <c r="D34" s="174"/>
      <c r="E34" s="174"/>
      <c r="F34" s="174"/>
      <c r="G34" s="174"/>
      <c r="H34" s="174"/>
      <c r="I34" s="174"/>
      <c r="J34" s="174"/>
      <c r="K34" s="175"/>
    </row>
    <row r="35" spans="1:11" x14ac:dyDescent="0.2">
      <c r="A35" s="173"/>
      <c r="B35" s="174"/>
      <c r="C35" s="174"/>
      <c r="D35" s="174"/>
      <c r="E35" s="174"/>
      <c r="F35" s="174"/>
      <c r="G35" s="174"/>
      <c r="H35" s="174"/>
      <c r="I35" s="174"/>
      <c r="J35" s="174"/>
      <c r="K35" s="175"/>
    </row>
    <row r="36" spans="1:11" x14ac:dyDescent="0.2">
      <c r="A36" s="173"/>
      <c r="B36" s="174"/>
      <c r="C36" s="174"/>
      <c r="D36" s="174"/>
      <c r="E36" s="174"/>
      <c r="F36" s="174"/>
      <c r="G36" s="174"/>
      <c r="H36" s="174"/>
      <c r="I36" s="174"/>
      <c r="J36" s="174"/>
      <c r="K36" s="175"/>
    </row>
  </sheetData>
  <mergeCells count="4">
    <mergeCell ref="A1:D1"/>
    <mergeCell ref="A3:K3"/>
    <mergeCell ref="A5:K36"/>
    <mergeCell ref="M3:O3"/>
  </mergeCells>
  <pageMargins left="0.19685039370078741" right="0.23622047244094491" top="0" bottom="0" header="0.31496062992125984" footer="0.31496062992125984"/>
  <pageSetup paperSize="9"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"/>
  <sheetViews>
    <sheetView workbookViewId="0">
      <selection activeCell="A3" sqref="A3:K3"/>
    </sheetView>
  </sheetViews>
  <sheetFormatPr baseColWidth="10" defaultColWidth="8.83203125" defaultRowHeight="15" x14ac:dyDescent="0.2"/>
  <sheetData>
    <row r="1" spans="1:14" s="4" customFormat="1" ht="16" x14ac:dyDescent="0.2">
      <c r="A1" s="167" t="s">
        <v>5</v>
      </c>
      <c r="B1" s="167"/>
      <c r="C1" s="167"/>
      <c r="D1" s="167"/>
      <c r="E1" s="11"/>
      <c r="F1" s="11"/>
      <c r="G1" s="11"/>
      <c r="H1" s="11"/>
      <c r="I1" s="11"/>
      <c r="J1" s="11"/>
      <c r="K1" s="11"/>
    </row>
    <row r="3" spans="1:14" s="3" customFormat="1" ht="54.5" customHeight="1" x14ac:dyDescent="0.2">
      <c r="A3" s="169" t="s">
        <v>100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</row>
    <row r="4" spans="1:14" ht="16" thickBot="1" x14ac:dyDescent="0.25"/>
    <row r="5" spans="1:14" x14ac:dyDescent="0.2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2"/>
    </row>
    <row r="6" spans="1:14" x14ac:dyDescent="0.2">
      <c r="A6" s="173"/>
      <c r="B6" s="174"/>
      <c r="C6" s="174"/>
      <c r="D6" s="174"/>
      <c r="E6" s="174"/>
      <c r="F6" s="174"/>
      <c r="G6" s="174"/>
      <c r="H6" s="174"/>
      <c r="I6" s="174"/>
      <c r="J6" s="174"/>
      <c r="K6" s="175"/>
    </row>
    <row r="7" spans="1:14" ht="16" x14ac:dyDescent="0.2">
      <c r="A7" s="173"/>
      <c r="B7" s="174"/>
      <c r="C7" s="174"/>
      <c r="D7" s="174"/>
      <c r="E7" s="174"/>
      <c r="F7" s="174"/>
      <c r="G7" s="174"/>
      <c r="H7" s="174"/>
      <c r="I7" s="174"/>
      <c r="J7" s="174"/>
      <c r="K7" s="175"/>
      <c r="N7" s="136"/>
    </row>
    <row r="8" spans="1:14" ht="16" x14ac:dyDescent="0.2">
      <c r="A8" s="173"/>
      <c r="B8" s="174"/>
      <c r="C8" s="174"/>
      <c r="D8" s="174"/>
      <c r="E8" s="174"/>
      <c r="F8" s="174"/>
      <c r="G8" s="174"/>
      <c r="H8" s="174"/>
      <c r="I8" s="174"/>
      <c r="J8" s="174"/>
      <c r="K8" s="175"/>
      <c r="N8" s="136"/>
    </row>
    <row r="9" spans="1:14" ht="16" x14ac:dyDescent="0.2">
      <c r="A9" s="173"/>
      <c r="B9" s="174"/>
      <c r="C9" s="174"/>
      <c r="D9" s="174"/>
      <c r="E9" s="174"/>
      <c r="F9" s="174"/>
      <c r="G9" s="174"/>
      <c r="H9" s="174"/>
      <c r="I9" s="174"/>
      <c r="J9" s="174"/>
      <c r="K9" s="175"/>
      <c r="N9" s="136"/>
    </row>
    <row r="10" spans="1:14" ht="16" x14ac:dyDescent="0.2">
      <c r="A10" s="173"/>
      <c r="B10" s="174"/>
      <c r="C10" s="174"/>
      <c r="D10" s="174"/>
      <c r="E10" s="174"/>
      <c r="F10" s="174"/>
      <c r="G10" s="174"/>
      <c r="H10" s="174"/>
      <c r="I10" s="174"/>
      <c r="J10" s="174"/>
      <c r="K10" s="175"/>
      <c r="N10" s="136"/>
    </row>
    <row r="11" spans="1:14" ht="16" x14ac:dyDescent="0.2">
      <c r="A11" s="173"/>
      <c r="B11" s="174"/>
      <c r="C11" s="174"/>
      <c r="D11" s="174"/>
      <c r="E11" s="174"/>
      <c r="F11" s="174"/>
      <c r="G11" s="174"/>
      <c r="H11" s="174"/>
      <c r="I11" s="174"/>
      <c r="J11" s="174"/>
      <c r="K11" s="175"/>
      <c r="N11" s="137"/>
    </row>
    <row r="12" spans="1:14" ht="16" x14ac:dyDescent="0.2">
      <c r="A12" s="173"/>
      <c r="B12" s="174"/>
      <c r="C12" s="174"/>
      <c r="D12" s="174"/>
      <c r="E12" s="174"/>
      <c r="F12" s="174"/>
      <c r="G12" s="174"/>
      <c r="H12" s="174"/>
      <c r="I12" s="174"/>
      <c r="J12" s="174"/>
      <c r="K12" s="175"/>
      <c r="N12" s="137"/>
    </row>
    <row r="13" spans="1:14" ht="16" x14ac:dyDescent="0.2">
      <c r="A13" s="173"/>
      <c r="B13" s="174"/>
      <c r="C13" s="174"/>
      <c r="D13" s="174"/>
      <c r="E13" s="174"/>
      <c r="F13" s="174"/>
      <c r="G13" s="174"/>
      <c r="H13" s="174"/>
      <c r="I13" s="174"/>
      <c r="J13" s="174"/>
      <c r="K13" s="175"/>
      <c r="N13" s="137"/>
    </row>
    <row r="14" spans="1:14" x14ac:dyDescent="0.2">
      <c r="A14" s="173"/>
      <c r="B14" s="174"/>
      <c r="C14" s="174"/>
      <c r="D14" s="174"/>
      <c r="E14" s="174"/>
      <c r="F14" s="174"/>
      <c r="G14" s="174"/>
      <c r="H14" s="174"/>
      <c r="I14" s="174"/>
      <c r="J14" s="174"/>
      <c r="K14" s="175"/>
    </row>
    <row r="15" spans="1:14" x14ac:dyDescent="0.2">
      <c r="A15" s="173"/>
      <c r="B15" s="174"/>
      <c r="C15" s="174"/>
      <c r="D15" s="174"/>
      <c r="E15" s="174"/>
      <c r="F15" s="174"/>
      <c r="G15" s="174"/>
      <c r="H15" s="174"/>
      <c r="I15" s="174"/>
      <c r="J15" s="174"/>
      <c r="K15" s="175"/>
    </row>
    <row r="16" spans="1:14" x14ac:dyDescent="0.2">
      <c r="A16" s="173"/>
      <c r="B16" s="174"/>
      <c r="C16" s="174"/>
      <c r="D16" s="174"/>
      <c r="E16" s="174"/>
      <c r="F16" s="174"/>
      <c r="G16" s="174"/>
      <c r="H16" s="174"/>
      <c r="I16" s="174"/>
      <c r="J16" s="174"/>
      <c r="K16" s="175"/>
    </row>
    <row r="17" spans="1:11" x14ac:dyDescent="0.2">
      <c r="A17" s="173"/>
      <c r="B17" s="174"/>
      <c r="C17" s="174"/>
      <c r="D17" s="174"/>
      <c r="E17" s="174"/>
      <c r="F17" s="174"/>
      <c r="G17" s="174"/>
      <c r="H17" s="174"/>
      <c r="I17" s="174"/>
      <c r="J17" s="174"/>
      <c r="K17" s="175"/>
    </row>
    <row r="18" spans="1:11" x14ac:dyDescent="0.2">
      <c r="A18" s="173"/>
      <c r="B18" s="174"/>
      <c r="C18" s="174"/>
      <c r="D18" s="174"/>
      <c r="E18" s="174"/>
      <c r="F18" s="174"/>
      <c r="G18" s="174"/>
      <c r="H18" s="174"/>
      <c r="I18" s="174"/>
      <c r="J18" s="174"/>
      <c r="K18" s="175"/>
    </row>
    <row r="19" spans="1:11" x14ac:dyDescent="0.2">
      <c r="A19" s="173"/>
      <c r="B19" s="174"/>
      <c r="C19" s="174"/>
      <c r="D19" s="174"/>
      <c r="E19" s="174"/>
      <c r="F19" s="174"/>
      <c r="G19" s="174"/>
      <c r="H19" s="174"/>
      <c r="I19" s="174"/>
      <c r="J19" s="174"/>
      <c r="K19" s="175"/>
    </row>
    <row r="20" spans="1:11" x14ac:dyDescent="0.2">
      <c r="A20" s="173"/>
      <c r="B20" s="174"/>
      <c r="C20" s="174"/>
      <c r="D20" s="174"/>
      <c r="E20" s="174"/>
      <c r="F20" s="174"/>
      <c r="G20" s="174"/>
      <c r="H20" s="174"/>
      <c r="I20" s="174"/>
      <c r="J20" s="174"/>
      <c r="K20" s="175"/>
    </row>
    <row r="21" spans="1:11" x14ac:dyDescent="0.2">
      <c r="A21" s="173"/>
      <c r="B21" s="174"/>
      <c r="C21" s="174"/>
      <c r="D21" s="174"/>
      <c r="E21" s="174"/>
      <c r="F21" s="174"/>
      <c r="G21" s="174"/>
      <c r="H21" s="174"/>
      <c r="I21" s="174"/>
      <c r="J21" s="174"/>
      <c r="K21" s="175"/>
    </row>
    <row r="22" spans="1:11" x14ac:dyDescent="0.2">
      <c r="A22" s="173"/>
      <c r="B22" s="174"/>
      <c r="C22" s="174"/>
      <c r="D22" s="174"/>
      <c r="E22" s="174"/>
      <c r="F22" s="174"/>
      <c r="G22" s="174"/>
      <c r="H22" s="174"/>
      <c r="I22" s="174"/>
      <c r="J22" s="174"/>
      <c r="K22" s="175"/>
    </row>
    <row r="23" spans="1:11" x14ac:dyDescent="0.2">
      <c r="A23" s="173"/>
      <c r="B23" s="174"/>
      <c r="C23" s="174"/>
      <c r="D23" s="174"/>
      <c r="E23" s="174"/>
      <c r="F23" s="174"/>
      <c r="G23" s="174"/>
      <c r="H23" s="174"/>
      <c r="I23" s="174"/>
      <c r="J23" s="174"/>
      <c r="K23" s="175"/>
    </row>
    <row r="24" spans="1:11" x14ac:dyDescent="0.2">
      <c r="A24" s="173"/>
      <c r="B24" s="174"/>
      <c r="C24" s="174"/>
      <c r="D24" s="174"/>
      <c r="E24" s="174"/>
      <c r="F24" s="174"/>
      <c r="G24" s="174"/>
      <c r="H24" s="174"/>
      <c r="I24" s="174"/>
      <c r="J24" s="174"/>
      <c r="K24" s="175"/>
    </row>
    <row r="25" spans="1:11" x14ac:dyDescent="0.2">
      <c r="A25" s="173"/>
      <c r="B25" s="174"/>
      <c r="C25" s="174"/>
      <c r="D25" s="174"/>
      <c r="E25" s="174"/>
      <c r="F25" s="174"/>
      <c r="G25" s="174"/>
      <c r="H25" s="174"/>
      <c r="I25" s="174"/>
      <c r="J25" s="174"/>
      <c r="K25" s="175"/>
    </row>
    <row r="26" spans="1:11" x14ac:dyDescent="0.2">
      <c r="A26" s="173"/>
      <c r="B26" s="174"/>
      <c r="C26" s="174"/>
      <c r="D26" s="174"/>
      <c r="E26" s="174"/>
      <c r="F26" s="174"/>
      <c r="G26" s="174"/>
      <c r="H26" s="174"/>
      <c r="I26" s="174"/>
      <c r="J26" s="174"/>
      <c r="K26" s="175"/>
    </row>
    <row r="27" spans="1:11" x14ac:dyDescent="0.2">
      <c r="A27" s="173"/>
      <c r="B27" s="174"/>
      <c r="C27" s="174"/>
      <c r="D27" s="174"/>
      <c r="E27" s="174"/>
      <c r="F27" s="174"/>
      <c r="G27" s="174"/>
      <c r="H27" s="174"/>
      <c r="I27" s="174"/>
      <c r="J27" s="174"/>
      <c r="K27" s="175"/>
    </row>
    <row r="28" spans="1:11" x14ac:dyDescent="0.2">
      <c r="A28" s="173"/>
      <c r="B28" s="174"/>
      <c r="C28" s="174"/>
      <c r="D28" s="174"/>
      <c r="E28" s="174"/>
      <c r="F28" s="174"/>
      <c r="G28" s="174"/>
      <c r="H28" s="174"/>
      <c r="I28" s="174"/>
      <c r="J28" s="174"/>
      <c r="K28" s="175"/>
    </row>
    <row r="29" spans="1:11" x14ac:dyDescent="0.2">
      <c r="A29" s="173"/>
      <c r="B29" s="174"/>
      <c r="C29" s="174"/>
      <c r="D29" s="174"/>
      <c r="E29" s="174"/>
      <c r="F29" s="174"/>
      <c r="G29" s="174"/>
      <c r="H29" s="174"/>
      <c r="I29" s="174"/>
      <c r="J29" s="174"/>
      <c r="K29" s="175"/>
    </row>
    <row r="30" spans="1:11" x14ac:dyDescent="0.2">
      <c r="A30" s="173"/>
      <c r="B30" s="174"/>
      <c r="C30" s="174"/>
      <c r="D30" s="174"/>
      <c r="E30" s="174"/>
      <c r="F30" s="174"/>
      <c r="G30" s="174"/>
      <c r="H30" s="174"/>
      <c r="I30" s="174"/>
      <c r="J30" s="174"/>
      <c r="K30" s="175"/>
    </row>
    <row r="31" spans="1:11" x14ac:dyDescent="0.2">
      <c r="A31" s="173"/>
      <c r="B31" s="174"/>
      <c r="C31" s="174"/>
      <c r="D31" s="174"/>
      <c r="E31" s="174"/>
      <c r="F31" s="174"/>
      <c r="G31" s="174"/>
      <c r="H31" s="174"/>
      <c r="I31" s="174"/>
      <c r="J31" s="174"/>
      <c r="K31" s="175"/>
    </row>
    <row r="32" spans="1:11" x14ac:dyDescent="0.2">
      <c r="A32" s="173"/>
      <c r="B32" s="174"/>
      <c r="C32" s="174"/>
      <c r="D32" s="174"/>
      <c r="E32" s="174"/>
      <c r="F32" s="174"/>
      <c r="G32" s="174"/>
      <c r="H32" s="174"/>
      <c r="I32" s="174"/>
      <c r="J32" s="174"/>
      <c r="K32" s="175"/>
    </row>
    <row r="33" spans="1:11" x14ac:dyDescent="0.2">
      <c r="A33" s="173"/>
      <c r="B33" s="174"/>
      <c r="C33" s="174"/>
      <c r="D33" s="174"/>
      <c r="E33" s="174"/>
      <c r="F33" s="174"/>
      <c r="G33" s="174"/>
      <c r="H33" s="174"/>
      <c r="I33" s="174"/>
      <c r="J33" s="174"/>
      <c r="K33" s="175"/>
    </row>
    <row r="34" spans="1:11" x14ac:dyDescent="0.2">
      <c r="A34" s="173"/>
      <c r="B34" s="174"/>
      <c r="C34" s="174"/>
      <c r="D34" s="174"/>
      <c r="E34" s="174"/>
      <c r="F34" s="174"/>
      <c r="G34" s="174"/>
      <c r="H34" s="174"/>
      <c r="I34" s="174"/>
      <c r="J34" s="174"/>
      <c r="K34" s="175"/>
    </row>
    <row r="35" spans="1:11" x14ac:dyDescent="0.2">
      <c r="A35" s="173"/>
      <c r="B35" s="174"/>
      <c r="C35" s="174"/>
      <c r="D35" s="174"/>
      <c r="E35" s="174"/>
      <c r="F35" s="174"/>
      <c r="G35" s="174"/>
      <c r="H35" s="174"/>
      <c r="I35" s="174"/>
      <c r="J35" s="174"/>
      <c r="K35" s="175"/>
    </row>
    <row r="36" spans="1:11" x14ac:dyDescent="0.2">
      <c r="A36" s="173"/>
      <c r="B36" s="174"/>
      <c r="C36" s="174"/>
      <c r="D36" s="174"/>
      <c r="E36" s="174"/>
      <c r="F36" s="174"/>
      <c r="G36" s="174"/>
      <c r="H36" s="174"/>
      <c r="I36" s="174"/>
      <c r="J36" s="174"/>
      <c r="K36" s="175"/>
    </row>
    <row r="37" spans="1:11" x14ac:dyDescent="0.2">
      <c r="A37" s="173"/>
      <c r="B37" s="174"/>
      <c r="C37" s="174"/>
      <c r="D37" s="174"/>
      <c r="E37" s="174"/>
      <c r="F37" s="174"/>
      <c r="G37" s="174"/>
      <c r="H37" s="174"/>
      <c r="I37" s="174"/>
      <c r="J37" s="174"/>
      <c r="K37" s="175"/>
    </row>
    <row r="38" spans="1:11" x14ac:dyDescent="0.2">
      <c r="A38" s="173"/>
      <c r="B38" s="174"/>
      <c r="C38" s="174"/>
      <c r="D38" s="174"/>
      <c r="E38" s="174"/>
      <c r="F38" s="174"/>
      <c r="G38" s="174"/>
      <c r="H38" s="174"/>
      <c r="I38" s="174"/>
      <c r="J38" s="174"/>
      <c r="K38" s="175"/>
    </row>
    <row r="39" spans="1:11" x14ac:dyDescent="0.2">
      <c r="A39" s="173"/>
      <c r="B39" s="174"/>
      <c r="C39" s="174"/>
      <c r="D39" s="174"/>
      <c r="E39" s="174"/>
      <c r="F39" s="174"/>
      <c r="G39" s="174"/>
      <c r="H39" s="174"/>
      <c r="I39" s="174"/>
      <c r="J39" s="174"/>
      <c r="K39" s="175"/>
    </row>
    <row r="40" spans="1:11" x14ac:dyDescent="0.2">
      <c r="A40" s="173"/>
      <c r="B40" s="174"/>
      <c r="C40" s="174"/>
      <c r="D40" s="174"/>
      <c r="E40" s="174"/>
      <c r="F40" s="174"/>
      <c r="G40" s="174"/>
      <c r="H40" s="174"/>
      <c r="I40" s="174"/>
      <c r="J40" s="174"/>
      <c r="K40" s="175"/>
    </row>
    <row r="41" spans="1:11" x14ac:dyDescent="0.2">
      <c r="A41" s="173"/>
      <c r="B41" s="174"/>
      <c r="C41" s="174"/>
      <c r="D41" s="174"/>
      <c r="E41" s="174"/>
      <c r="F41" s="174"/>
      <c r="G41" s="174"/>
      <c r="H41" s="174"/>
      <c r="I41" s="174"/>
      <c r="J41" s="174"/>
      <c r="K41" s="175"/>
    </row>
    <row r="42" spans="1:11" x14ac:dyDescent="0.2">
      <c r="A42" s="173"/>
      <c r="B42" s="174"/>
      <c r="C42" s="174"/>
      <c r="D42" s="174"/>
      <c r="E42" s="174"/>
      <c r="F42" s="174"/>
      <c r="G42" s="174"/>
      <c r="H42" s="174"/>
      <c r="I42" s="174"/>
      <c r="J42" s="174"/>
      <c r="K42" s="175"/>
    </row>
    <row r="43" spans="1:11" x14ac:dyDescent="0.2">
      <c r="A43" s="173"/>
      <c r="B43" s="174"/>
      <c r="C43" s="174"/>
      <c r="D43" s="174"/>
      <c r="E43" s="174"/>
      <c r="F43" s="174"/>
      <c r="G43" s="174"/>
      <c r="H43" s="174"/>
      <c r="I43" s="174"/>
      <c r="J43" s="174"/>
      <c r="K43" s="175"/>
    </row>
    <row r="44" spans="1:11" x14ac:dyDescent="0.2">
      <c r="A44" s="173"/>
      <c r="B44" s="174"/>
      <c r="C44" s="174"/>
      <c r="D44" s="174"/>
      <c r="E44" s="174"/>
      <c r="F44" s="174"/>
      <c r="G44" s="174"/>
      <c r="H44" s="174"/>
      <c r="I44" s="174"/>
      <c r="J44" s="174"/>
      <c r="K44" s="175"/>
    </row>
    <row r="45" spans="1:11" x14ac:dyDescent="0.2">
      <c r="A45" s="173"/>
      <c r="B45" s="174"/>
      <c r="C45" s="174"/>
      <c r="D45" s="174"/>
      <c r="E45" s="174"/>
      <c r="F45" s="174"/>
      <c r="G45" s="174"/>
      <c r="H45" s="174"/>
      <c r="I45" s="174"/>
      <c r="J45" s="174"/>
      <c r="K45" s="175"/>
    </row>
    <row r="46" spans="1:11" x14ac:dyDescent="0.2">
      <c r="A46" s="173"/>
      <c r="B46" s="174"/>
      <c r="C46" s="174"/>
      <c r="D46" s="174"/>
      <c r="E46" s="174"/>
      <c r="F46" s="174"/>
      <c r="G46" s="174"/>
      <c r="H46" s="174"/>
      <c r="I46" s="174"/>
      <c r="J46" s="174"/>
      <c r="K46" s="175"/>
    </row>
    <row r="47" spans="1:11" x14ac:dyDescent="0.2">
      <c r="A47" s="173"/>
      <c r="B47" s="174"/>
      <c r="C47" s="174"/>
      <c r="D47" s="174"/>
      <c r="E47" s="174"/>
      <c r="F47" s="174"/>
      <c r="G47" s="174"/>
      <c r="H47" s="174"/>
      <c r="I47" s="174"/>
      <c r="J47" s="174"/>
      <c r="K47" s="175"/>
    </row>
    <row r="48" spans="1:11" x14ac:dyDescent="0.2">
      <c r="A48" s="173"/>
      <c r="B48" s="174"/>
      <c r="C48" s="174"/>
      <c r="D48" s="174"/>
      <c r="E48" s="174"/>
      <c r="F48" s="174"/>
      <c r="G48" s="174"/>
      <c r="H48" s="174"/>
      <c r="I48" s="174"/>
      <c r="J48" s="174"/>
      <c r="K48" s="175"/>
    </row>
    <row r="49" spans="1:11" x14ac:dyDescent="0.2">
      <c r="A49" s="173"/>
      <c r="B49" s="174"/>
      <c r="C49" s="174"/>
      <c r="D49" s="174"/>
      <c r="E49" s="174"/>
      <c r="F49" s="174"/>
      <c r="G49" s="174"/>
      <c r="H49" s="174"/>
      <c r="I49" s="174"/>
      <c r="J49" s="174"/>
      <c r="K49" s="175"/>
    </row>
    <row r="50" spans="1:11" x14ac:dyDescent="0.2">
      <c r="A50" s="173"/>
      <c r="B50" s="174"/>
      <c r="C50" s="174"/>
      <c r="D50" s="174"/>
      <c r="E50" s="174"/>
      <c r="F50" s="174"/>
      <c r="G50" s="174"/>
      <c r="H50" s="174"/>
      <c r="I50" s="174"/>
      <c r="J50" s="174"/>
      <c r="K50" s="175"/>
    </row>
    <row r="51" spans="1:11" x14ac:dyDescent="0.2">
      <c r="A51" s="173"/>
      <c r="B51" s="174"/>
      <c r="C51" s="174"/>
      <c r="D51" s="174"/>
      <c r="E51" s="174"/>
      <c r="F51" s="174"/>
      <c r="G51" s="174"/>
      <c r="H51" s="174"/>
      <c r="I51" s="174"/>
      <c r="J51" s="174"/>
      <c r="K51" s="175"/>
    </row>
    <row r="52" spans="1:11" x14ac:dyDescent="0.2">
      <c r="A52" s="173"/>
      <c r="B52" s="174"/>
      <c r="C52" s="174"/>
      <c r="D52" s="174"/>
      <c r="E52" s="174"/>
      <c r="F52" s="174"/>
      <c r="G52" s="174"/>
      <c r="H52" s="174"/>
      <c r="I52" s="174"/>
      <c r="J52" s="174"/>
      <c r="K52" s="175"/>
    </row>
    <row r="53" spans="1:11" x14ac:dyDescent="0.2">
      <c r="A53" s="173"/>
      <c r="B53" s="174"/>
      <c r="C53" s="174"/>
      <c r="D53" s="174"/>
      <c r="E53" s="174"/>
      <c r="F53" s="174"/>
      <c r="G53" s="174"/>
      <c r="H53" s="174"/>
      <c r="I53" s="174"/>
      <c r="J53" s="174"/>
      <c r="K53" s="175"/>
    </row>
    <row r="54" spans="1:11" x14ac:dyDescent="0.2">
      <c r="A54" s="173"/>
      <c r="B54" s="174"/>
      <c r="C54" s="174"/>
      <c r="D54" s="174"/>
      <c r="E54" s="174"/>
      <c r="F54" s="174"/>
      <c r="G54" s="174"/>
      <c r="H54" s="174"/>
      <c r="I54" s="174"/>
      <c r="J54" s="174"/>
      <c r="K54" s="175"/>
    </row>
    <row r="55" spans="1:11" x14ac:dyDescent="0.2">
      <c r="A55" s="173"/>
      <c r="B55" s="174"/>
      <c r="C55" s="174"/>
      <c r="D55" s="174"/>
      <c r="E55" s="174"/>
      <c r="F55" s="174"/>
      <c r="G55" s="174"/>
      <c r="H55" s="174"/>
      <c r="I55" s="174"/>
      <c r="J55" s="174"/>
      <c r="K55" s="175"/>
    </row>
    <row r="56" spans="1:11" x14ac:dyDescent="0.2">
      <c r="A56" s="173"/>
      <c r="B56" s="174"/>
      <c r="C56" s="174"/>
      <c r="D56" s="174"/>
      <c r="E56" s="174"/>
      <c r="F56" s="174"/>
      <c r="G56" s="174"/>
      <c r="H56" s="174"/>
      <c r="I56" s="174"/>
      <c r="J56" s="174"/>
      <c r="K56" s="175"/>
    </row>
    <row r="57" spans="1:11" x14ac:dyDescent="0.2">
      <c r="A57" s="173"/>
      <c r="B57" s="174"/>
      <c r="C57" s="174"/>
      <c r="D57" s="174"/>
      <c r="E57" s="174"/>
      <c r="F57" s="174"/>
      <c r="G57" s="174"/>
      <c r="H57" s="174"/>
      <c r="I57" s="174"/>
      <c r="J57" s="174"/>
      <c r="K57" s="175"/>
    </row>
    <row r="58" spans="1:11" x14ac:dyDescent="0.2">
      <c r="A58" s="173"/>
      <c r="B58" s="174"/>
      <c r="C58" s="174"/>
      <c r="D58" s="174"/>
      <c r="E58" s="174"/>
      <c r="F58" s="174"/>
      <c r="G58" s="174"/>
      <c r="H58" s="174"/>
      <c r="I58" s="174"/>
      <c r="J58" s="174"/>
      <c r="K58" s="175"/>
    </row>
    <row r="59" spans="1:11" x14ac:dyDescent="0.2">
      <c r="A59" s="173"/>
      <c r="B59" s="174"/>
      <c r="C59" s="174"/>
      <c r="D59" s="174"/>
      <c r="E59" s="174"/>
      <c r="F59" s="174"/>
      <c r="G59" s="174"/>
      <c r="H59" s="174"/>
      <c r="I59" s="174"/>
      <c r="J59" s="174"/>
      <c r="K59" s="175"/>
    </row>
    <row r="60" spans="1:11" x14ac:dyDescent="0.2">
      <c r="A60" s="173"/>
      <c r="B60" s="174"/>
      <c r="C60" s="174"/>
      <c r="D60" s="174"/>
      <c r="E60" s="174"/>
      <c r="F60" s="174"/>
      <c r="G60" s="174"/>
      <c r="H60" s="174"/>
      <c r="I60" s="174"/>
      <c r="J60" s="174"/>
      <c r="K60" s="175"/>
    </row>
    <row r="61" spans="1:11" x14ac:dyDescent="0.2">
      <c r="A61" s="173"/>
      <c r="B61" s="174"/>
      <c r="C61" s="174"/>
      <c r="D61" s="174"/>
      <c r="E61" s="174"/>
      <c r="F61" s="174"/>
      <c r="G61" s="174"/>
      <c r="H61" s="174"/>
      <c r="I61" s="174"/>
      <c r="J61" s="174"/>
      <c r="K61" s="175"/>
    </row>
    <row r="62" spans="1:11" x14ac:dyDescent="0.2">
      <c r="A62" s="173"/>
      <c r="B62" s="174"/>
      <c r="C62" s="174"/>
      <c r="D62" s="174"/>
      <c r="E62" s="174"/>
      <c r="F62" s="174"/>
      <c r="G62" s="174"/>
      <c r="H62" s="174"/>
      <c r="I62" s="174"/>
      <c r="J62" s="174"/>
      <c r="K62" s="175"/>
    </row>
    <row r="63" spans="1:11" x14ac:dyDescent="0.2">
      <c r="A63" s="173"/>
      <c r="B63" s="174"/>
      <c r="C63" s="174"/>
      <c r="D63" s="174"/>
      <c r="E63" s="174"/>
      <c r="F63" s="174"/>
      <c r="G63" s="174"/>
      <c r="H63" s="174"/>
      <c r="I63" s="174"/>
      <c r="J63" s="174"/>
      <c r="K63" s="175"/>
    </row>
    <row r="64" spans="1:11" x14ac:dyDescent="0.2">
      <c r="A64" s="173"/>
      <c r="B64" s="174"/>
      <c r="C64" s="174"/>
      <c r="D64" s="174"/>
      <c r="E64" s="174"/>
      <c r="F64" s="174"/>
      <c r="G64" s="174"/>
      <c r="H64" s="174"/>
      <c r="I64" s="174"/>
      <c r="J64" s="174"/>
      <c r="K64" s="175"/>
    </row>
    <row r="65" spans="1:11" x14ac:dyDescent="0.2">
      <c r="A65" s="173"/>
      <c r="B65" s="174"/>
      <c r="C65" s="174"/>
      <c r="D65" s="174"/>
      <c r="E65" s="174"/>
      <c r="F65" s="174"/>
      <c r="G65" s="174"/>
      <c r="H65" s="174"/>
      <c r="I65" s="174"/>
      <c r="J65" s="174"/>
      <c r="K65" s="175"/>
    </row>
    <row r="66" spans="1:11" x14ac:dyDescent="0.2">
      <c r="A66" s="173"/>
      <c r="B66" s="174"/>
      <c r="C66" s="174"/>
      <c r="D66" s="174"/>
      <c r="E66" s="174"/>
      <c r="F66" s="174"/>
      <c r="G66" s="174"/>
      <c r="H66" s="174"/>
      <c r="I66" s="174"/>
      <c r="J66" s="174"/>
      <c r="K66" s="175"/>
    </row>
    <row r="67" spans="1:11" x14ac:dyDescent="0.2">
      <c r="A67" s="173"/>
      <c r="B67" s="174"/>
      <c r="C67" s="174"/>
      <c r="D67" s="174"/>
      <c r="E67" s="174"/>
      <c r="F67" s="174"/>
      <c r="G67" s="174"/>
      <c r="H67" s="174"/>
      <c r="I67" s="174"/>
      <c r="J67" s="174"/>
      <c r="K67" s="175"/>
    </row>
    <row r="68" spans="1:11" x14ac:dyDescent="0.2">
      <c r="A68" s="173"/>
      <c r="B68" s="174"/>
      <c r="C68" s="174"/>
      <c r="D68" s="174"/>
      <c r="E68" s="174"/>
      <c r="F68" s="174"/>
      <c r="G68" s="174"/>
      <c r="H68" s="174"/>
      <c r="I68" s="174"/>
      <c r="J68" s="174"/>
      <c r="K68" s="175"/>
    </row>
    <row r="69" spans="1:11" x14ac:dyDescent="0.2">
      <c r="A69" s="173"/>
      <c r="B69" s="174"/>
      <c r="C69" s="174"/>
      <c r="D69" s="174"/>
      <c r="E69" s="174"/>
      <c r="F69" s="174"/>
      <c r="G69" s="174"/>
      <c r="H69" s="174"/>
      <c r="I69" s="174"/>
      <c r="J69" s="174"/>
      <c r="K69" s="175"/>
    </row>
    <row r="70" spans="1:11" x14ac:dyDescent="0.2">
      <c r="A70" s="173"/>
      <c r="B70" s="174"/>
      <c r="C70" s="174"/>
      <c r="D70" s="174"/>
      <c r="E70" s="174"/>
      <c r="F70" s="174"/>
      <c r="G70" s="174"/>
      <c r="H70" s="174"/>
      <c r="I70" s="174"/>
      <c r="J70" s="174"/>
      <c r="K70" s="175"/>
    </row>
    <row r="71" spans="1:11" x14ac:dyDescent="0.2">
      <c r="A71" s="173"/>
      <c r="B71" s="174"/>
      <c r="C71" s="174"/>
      <c r="D71" s="174"/>
      <c r="E71" s="174"/>
      <c r="F71" s="174"/>
      <c r="G71" s="174"/>
      <c r="H71" s="174"/>
      <c r="I71" s="174"/>
      <c r="J71" s="174"/>
      <c r="K71" s="175"/>
    </row>
    <row r="72" spans="1:11" x14ac:dyDescent="0.2">
      <c r="A72" s="173"/>
      <c r="B72" s="174"/>
      <c r="C72" s="174"/>
      <c r="D72" s="174"/>
      <c r="E72" s="174"/>
      <c r="F72" s="174"/>
      <c r="G72" s="174"/>
      <c r="H72" s="174"/>
      <c r="I72" s="174"/>
      <c r="J72" s="174"/>
      <c r="K72" s="175"/>
    </row>
    <row r="73" spans="1:11" x14ac:dyDescent="0.2">
      <c r="A73" s="173"/>
      <c r="B73" s="174"/>
      <c r="C73" s="174"/>
      <c r="D73" s="174"/>
      <c r="E73" s="174"/>
      <c r="F73" s="174"/>
      <c r="G73" s="174"/>
      <c r="H73" s="174"/>
      <c r="I73" s="174"/>
      <c r="J73" s="174"/>
      <c r="K73" s="175"/>
    </row>
    <row r="74" spans="1:11" x14ac:dyDescent="0.2">
      <c r="A74" s="173"/>
      <c r="B74" s="174"/>
      <c r="C74" s="174"/>
      <c r="D74" s="174"/>
      <c r="E74" s="174"/>
      <c r="F74" s="174"/>
      <c r="G74" s="174"/>
      <c r="H74" s="174"/>
      <c r="I74" s="174"/>
      <c r="J74" s="174"/>
      <c r="K74" s="175"/>
    </row>
    <row r="75" spans="1:11" x14ac:dyDescent="0.2">
      <c r="A75" s="173"/>
      <c r="B75" s="174"/>
      <c r="C75" s="174"/>
      <c r="D75" s="174"/>
      <c r="E75" s="174"/>
      <c r="F75" s="174"/>
      <c r="G75" s="174"/>
      <c r="H75" s="174"/>
      <c r="I75" s="174"/>
      <c r="J75" s="174"/>
      <c r="K75" s="175"/>
    </row>
    <row r="76" spans="1:11" x14ac:dyDescent="0.2">
      <c r="A76" s="173"/>
      <c r="B76" s="174"/>
      <c r="C76" s="174"/>
      <c r="D76" s="174"/>
      <c r="E76" s="174"/>
      <c r="F76" s="174"/>
      <c r="G76" s="174"/>
      <c r="H76" s="174"/>
      <c r="I76" s="174"/>
      <c r="J76" s="174"/>
      <c r="K76" s="175"/>
    </row>
    <row r="77" spans="1:11" x14ac:dyDescent="0.2">
      <c r="A77" s="173"/>
      <c r="B77" s="174"/>
      <c r="C77" s="174"/>
      <c r="D77" s="174"/>
      <c r="E77" s="174"/>
      <c r="F77" s="174"/>
      <c r="G77" s="174"/>
      <c r="H77" s="174"/>
      <c r="I77" s="174"/>
      <c r="J77" s="174"/>
      <c r="K77" s="175"/>
    </row>
    <row r="78" spans="1:11" x14ac:dyDescent="0.2">
      <c r="A78" s="173"/>
      <c r="B78" s="174"/>
      <c r="C78" s="174"/>
      <c r="D78" s="174"/>
      <c r="E78" s="174"/>
      <c r="F78" s="174"/>
      <c r="G78" s="174"/>
      <c r="H78" s="174"/>
      <c r="I78" s="174"/>
      <c r="J78" s="174"/>
      <c r="K78" s="175"/>
    </row>
    <row r="79" spans="1:11" x14ac:dyDescent="0.2">
      <c r="A79" s="173"/>
      <c r="B79" s="174"/>
      <c r="C79" s="174"/>
      <c r="D79" s="174"/>
      <c r="E79" s="174"/>
      <c r="F79" s="174"/>
      <c r="G79" s="174"/>
      <c r="H79" s="174"/>
      <c r="I79" s="174"/>
      <c r="J79" s="174"/>
      <c r="K79" s="175"/>
    </row>
    <row r="80" spans="1:11" x14ac:dyDescent="0.2">
      <c r="A80" s="173"/>
      <c r="B80" s="174"/>
      <c r="C80" s="174"/>
      <c r="D80" s="174"/>
      <c r="E80" s="174"/>
      <c r="F80" s="174"/>
      <c r="G80" s="174"/>
      <c r="H80" s="174"/>
      <c r="I80" s="174"/>
      <c r="J80" s="174"/>
      <c r="K80" s="175"/>
    </row>
    <row r="81" spans="1:11" x14ac:dyDescent="0.2">
      <c r="A81" s="173"/>
      <c r="B81" s="174"/>
      <c r="C81" s="174"/>
      <c r="D81" s="174"/>
      <c r="E81" s="174"/>
      <c r="F81" s="174"/>
      <c r="G81" s="174"/>
      <c r="H81" s="174"/>
      <c r="I81" s="174"/>
      <c r="J81" s="174"/>
      <c r="K81" s="175"/>
    </row>
    <row r="82" spans="1:11" x14ac:dyDescent="0.2">
      <c r="A82" s="173"/>
      <c r="B82" s="174"/>
      <c r="C82" s="174"/>
      <c r="D82" s="174"/>
      <c r="E82" s="174"/>
      <c r="F82" s="174"/>
      <c r="G82" s="174"/>
      <c r="H82" s="174"/>
      <c r="I82" s="174"/>
      <c r="J82" s="174"/>
      <c r="K82" s="175"/>
    </row>
    <row r="83" spans="1:11" x14ac:dyDescent="0.2">
      <c r="A83" s="173"/>
      <c r="B83" s="174"/>
      <c r="C83" s="174"/>
      <c r="D83" s="174"/>
      <c r="E83" s="174"/>
      <c r="F83" s="174"/>
      <c r="G83" s="174"/>
      <c r="H83" s="174"/>
      <c r="I83" s="174"/>
      <c r="J83" s="174"/>
      <c r="K83" s="175"/>
    </row>
    <row r="84" spans="1:11" x14ac:dyDescent="0.2">
      <c r="A84" s="173"/>
      <c r="B84" s="174"/>
      <c r="C84" s="174"/>
      <c r="D84" s="174"/>
      <c r="E84" s="174"/>
      <c r="F84" s="174"/>
      <c r="G84" s="174"/>
      <c r="H84" s="174"/>
      <c r="I84" s="174"/>
      <c r="J84" s="174"/>
      <c r="K84" s="175"/>
    </row>
    <row r="85" spans="1:11" x14ac:dyDescent="0.2">
      <c r="A85" s="173"/>
      <c r="B85" s="174"/>
      <c r="C85" s="174"/>
      <c r="D85" s="174"/>
      <c r="E85" s="174"/>
      <c r="F85" s="174"/>
      <c r="G85" s="174"/>
      <c r="H85" s="174"/>
      <c r="I85" s="174"/>
      <c r="J85" s="174"/>
      <c r="K85" s="175"/>
    </row>
    <row r="86" spans="1:11" x14ac:dyDescent="0.2">
      <c r="A86" s="173"/>
      <c r="B86" s="174"/>
      <c r="C86" s="174"/>
      <c r="D86" s="174"/>
      <c r="E86" s="174"/>
      <c r="F86" s="174"/>
      <c r="G86" s="174"/>
      <c r="H86" s="174"/>
      <c r="I86" s="174"/>
      <c r="J86" s="174"/>
      <c r="K86" s="175"/>
    </row>
    <row r="87" spans="1:11" x14ac:dyDescent="0.2">
      <c r="A87" s="173"/>
      <c r="B87" s="174"/>
      <c r="C87" s="174"/>
      <c r="D87" s="174"/>
      <c r="E87" s="174"/>
      <c r="F87" s="174"/>
      <c r="G87" s="174"/>
      <c r="H87" s="174"/>
      <c r="I87" s="174"/>
      <c r="J87" s="174"/>
      <c r="K87" s="175"/>
    </row>
    <row r="88" spans="1:11" x14ac:dyDescent="0.2">
      <c r="A88" s="173"/>
      <c r="B88" s="174"/>
      <c r="C88" s="174"/>
      <c r="D88" s="174"/>
      <c r="E88" s="174"/>
      <c r="F88" s="174"/>
      <c r="G88" s="174"/>
      <c r="H88" s="174"/>
      <c r="I88" s="174"/>
      <c r="J88" s="174"/>
      <c r="K88" s="175"/>
    </row>
    <row r="89" spans="1:11" x14ac:dyDescent="0.2">
      <c r="A89" s="173"/>
      <c r="B89" s="174"/>
      <c r="C89" s="174"/>
      <c r="D89" s="174"/>
      <c r="E89" s="174"/>
      <c r="F89" s="174"/>
      <c r="G89" s="174"/>
      <c r="H89" s="174"/>
      <c r="I89" s="174"/>
      <c r="J89" s="174"/>
      <c r="K89" s="175"/>
    </row>
    <row r="90" spans="1:11" x14ac:dyDescent="0.2">
      <c r="A90" s="173"/>
      <c r="B90" s="174"/>
      <c r="C90" s="174"/>
      <c r="D90" s="174"/>
      <c r="E90" s="174"/>
      <c r="F90" s="174"/>
      <c r="G90" s="174"/>
      <c r="H90" s="174"/>
      <c r="I90" s="174"/>
      <c r="J90" s="174"/>
      <c r="K90" s="175"/>
    </row>
    <row r="91" spans="1:11" x14ac:dyDescent="0.2">
      <c r="A91" s="173"/>
      <c r="B91" s="174"/>
      <c r="C91" s="174"/>
      <c r="D91" s="174"/>
      <c r="E91" s="174"/>
      <c r="F91" s="174"/>
      <c r="G91" s="174"/>
      <c r="H91" s="174"/>
      <c r="I91" s="174"/>
      <c r="J91" s="174"/>
      <c r="K91" s="175"/>
    </row>
    <row r="92" spans="1:11" x14ac:dyDescent="0.2">
      <c r="A92" s="173"/>
      <c r="B92" s="174"/>
      <c r="C92" s="174"/>
      <c r="D92" s="174"/>
      <c r="E92" s="174"/>
      <c r="F92" s="174"/>
      <c r="G92" s="174"/>
      <c r="H92" s="174"/>
      <c r="I92" s="174"/>
      <c r="J92" s="174"/>
      <c r="K92" s="175"/>
    </row>
    <row r="93" spans="1:11" x14ac:dyDescent="0.2">
      <c r="A93" s="173"/>
      <c r="B93" s="174"/>
      <c r="C93" s="174"/>
      <c r="D93" s="174"/>
      <c r="E93" s="174"/>
      <c r="F93" s="174"/>
      <c r="G93" s="174"/>
      <c r="H93" s="174"/>
      <c r="I93" s="174"/>
      <c r="J93" s="174"/>
      <c r="K93" s="175"/>
    </row>
    <row r="94" spans="1:11" x14ac:dyDescent="0.2">
      <c r="A94" s="173"/>
      <c r="B94" s="174"/>
      <c r="C94" s="174"/>
      <c r="D94" s="174"/>
      <c r="E94" s="174"/>
      <c r="F94" s="174"/>
      <c r="G94" s="174"/>
      <c r="H94" s="174"/>
      <c r="I94" s="174"/>
      <c r="J94" s="174"/>
      <c r="K94" s="175"/>
    </row>
    <row r="95" spans="1:11" x14ac:dyDescent="0.2">
      <c r="A95" s="173"/>
      <c r="B95" s="174"/>
      <c r="C95" s="174"/>
      <c r="D95" s="174"/>
      <c r="E95" s="174"/>
      <c r="F95" s="174"/>
      <c r="G95" s="174"/>
      <c r="H95" s="174"/>
      <c r="I95" s="174"/>
      <c r="J95" s="174"/>
      <c r="K95" s="175"/>
    </row>
    <row r="96" spans="1:11" x14ac:dyDescent="0.2">
      <c r="A96" s="173"/>
      <c r="B96" s="174"/>
      <c r="C96" s="174"/>
      <c r="D96" s="174"/>
      <c r="E96" s="174"/>
      <c r="F96" s="174"/>
      <c r="G96" s="174"/>
      <c r="H96" s="174"/>
      <c r="I96" s="174"/>
      <c r="J96" s="174"/>
      <c r="K96" s="175"/>
    </row>
    <row r="97" spans="1:11" x14ac:dyDescent="0.2">
      <c r="A97" s="173"/>
      <c r="B97" s="174"/>
      <c r="C97" s="174"/>
      <c r="D97" s="174"/>
      <c r="E97" s="174"/>
      <c r="F97" s="174"/>
      <c r="G97" s="174"/>
      <c r="H97" s="174"/>
      <c r="I97" s="174"/>
      <c r="J97" s="174"/>
      <c r="K97" s="175"/>
    </row>
    <row r="98" spans="1:11" x14ac:dyDescent="0.2">
      <c r="A98" s="173"/>
      <c r="B98" s="174"/>
      <c r="C98" s="174"/>
      <c r="D98" s="174"/>
      <c r="E98" s="174"/>
      <c r="F98" s="174"/>
      <c r="G98" s="174"/>
      <c r="H98" s="174"/>
      <c r="I98" s="174"/>
      <c r="J98" s="174"/>
      <c r="K98" s="175"/>
    </row>
    <row r="99" spans="1:11" x14ac:dyDescent="0.2">
      <c r="A99" s="173"/>
      <c r="B99" s="174"/>
      <c r="C99" s="174"/>
      <c r="D99" s="174"/>
      <c r="E99" s="174"/>
      <c r="F99" s="174"/>
      <c r="G99" s="174"/>
      <c r="H99" s="174"/>
      <c r="I99" s="174"/>
      <c r="J99" s="174"/>
      <c r="K99" s="175"/>
    </row>
    <row r="100" spans="1:11" ht="16" thickBot="1" x14ac:dyDescent="0.25">
      <c r="A100" s="176"/>
      <c r="B100" s="177"/>
      <c r="C100" s="177"/>
      <c r="D100" s="177"/>
      <c r="E100" s="177"/>
      <c r="F100" s="177"/>
      <c r="G100" s="177"/>
      <c r="H100" s="177"/>
      <c r="I100" s="177"/>
      <c r="J100" s="177"/>
      <c r="K100" s="178"/>
    </row>
  </sheetData>
  <mergeCells count="3">
    <mergeCell ref="A1:D1"/>
    <mergeCell ref="A3:K3"/>
    <mergeCell ref="A5:K10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24"/>
  <sheetViews>
    <sheetView showGridLines="0" zoomScaleNormal="100" workbookViewId="0">
      <selection activeCell="Q19" sqref="Q19"/>
    </sheetView>
  </sheetViews>
  <sheetFormatPr baseColWidth="10" defaultColWidth="8.83203125" defaultRowHeight="15" x14ac:dyDescent="0.2"/>
  <sheetData>
    <row r="1" spans="1:15" s="4" customFormat="1" ht="16" x14ac:dyDescent="0.2">
      <c r="A1" s="167" t="s">
        <v>5</v>
      </c>
      <c r="B1" s="167"/>
      <c r="C1" s="167"/>
      <c r="D1" s="167"/>
      <c r="E1" s="11"/>
      <c r="F1" s="11"/>
      <c r="G1" s="11"/>
      <c r="H1" s="11"/>
      <c r="I1" s="11"/>
      <c r="J1" s="11"/>
      <c r="K1" s="11"/>
    </row>
    <row r="2" spans="1:15" ht="16" x14ac:dyDescent="0.2">
      <c r="M2" s="145"/>
      <c r="N2" s="144"/>
      <c r="O2" s="144"/>
    </row>
    <row r="3" spans="1:15" s="3" customFormat="1" ht="54.5" customHeight="1" x14ac:dyDescent="0.2">
      <c r="A3" s="169" t="s">
        <v>100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M3" s="148"/>
      <c r="N3" s="145"/>
      <c r="O3" s="145"/>
    </row>
    <row r="4" spans="1:15" s="3" customFormat="1" ht="16" x14ac:dyDescent="0.2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M4" s="148"/>
      <c r="N4" s="145"/>
      <c r="O4" s="145"/>
    </row>
    <row r="5" spans="1:15" s="3" customFormat="1" ht="16" x14ac:dyDescent="0.2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M5" s="148"/>
      <c r="N5" s="145"/>
      <c r="O5" s="145"/>
    </row>
    <row r="6" spans="1:15" s="3" customFormat="1" ht="16" x14ac:dyDescent="0.2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M6" s="148"/>
      <c r="N6" s="145"/>
      <c r="O6" s="145"/>
    </row>
    <row r="7" spans="1:15" ht="16" thickBot="1" x14ac:dyDescent="0.25"/>
    <row r="8" spans="1:15" x14ac:dyDescent="0.2">
      <c r="A8" s="170"/>
      <c r="B8" s="171"/>
      <c r="C8" s="171"/>
      <c r="D8" s="171"/>
      <c r="E8" s="171"/>
      <c r="F8" s="171"/>
      <c r="G8" s="171"/>
      <c r="H8" s="171"/>
      <c r="I8" s="171"/>
      <c r="J8" s="171"/>
      <c r="K8" s="172"/>
    </row>
    <row r="9" spans="1:15" x14ac:dyDescent="0.2">
      <c r="A9" s="173"/>
      <c r="B9" s="174"/>
      <c r="C9" s="174"/>
      <c r="D9" s="174"/>
      <c r="E9" s="174"/>
      <c r="F9" s="174"/>
      <c r="G9" s="174"/>
      <c r="H9" s="174"/>
      <c r="I9" s="174"/>
      <c r="J9" s="174"/>
      <c r="K9" s="175"/>
    </row>
    <row r="10" spans="1:15" x14ac:dyDescent="0.2">
      <c r="A10" s="173"/>
      <c r="B10" s="174"/>
      <c r="C10" s="174"/>
      <c r="D10" s="174"/>
      <c r="E10" s="174"/>
      <c r="F10" s="174"/>
      <c r="G10" s="174"/>
      <c r="H10" s="174"/>
      <c r="I10" s="174"/>
      <c r="J10" s="174"/>
      <c r="K10" s="175"/>
    </row>
    <row r="11" spans="1:15" x14ac:dyDescent="0.2">
      <c r="A11" s="173"/>
      <c r="B11" s="174"/>
      <c r="C11" s="174"/>
      <c r="D11" s="174"/>
      <c r="E11" s="174"/>
      <c r="F11" s="174"/>
      <c r="G11" s="174"/>
      <c r="H11" s="174"/>
      <c r="I11" s="174"/>
      <c r="J11" s="174"/>
      <c r="K11" s="175"/>
    </row>
    <row r="12" spans="1:15" x14ac:dyDescent="0.2">
      <c r="A12" s="173"/>
      <c r="B12" s="174"/>
      <c r="C12" s="174"/>
      <c r="D12" s="174"/>
      <c r="E12" s="174"/>
      <c r="F12" s="174"/>
      <c r="G12" s="174"/>
      <c r="H12" s="174"/>
      <c r="I12" s="174"/>
      <c r="J12" s="174"/>
      <c r="K12" s="175"/>
    </row>
    <row r="13" spans="1:15" x14ac:dyDescent="0.2">
      <c r="A13" s="173"/>
      <c r="B13" s="174"/>
      <c r="C13" s="174"/>
      <c r="D13" s="174"/>
      <c r="E13" s="174"/>
      <c r="F13" s="174"/>
      <c r="G13" s="174"/>
      <c r="H13" s="174"/>
      <c r="I13" s="174"/>
      <c r="J13" s="174"/>
      <c r="K13" s="175"/>
    </row>
    <row r="14" spans="1:15" x14ac:dyDescent="0.2">
      <c r="A14" s="173"/>
      <c r="B14" s="174"/>
      <c r="C14" s="174"/>
      <c r="D14" s="174"/>
      <c r="E14" s="174"/>
      <c r="F14" s="174"/>
      <c r="G14" s="174"/>
      <c r="H14" s="174"/>
      <c r="I14" s="174"/>
      <c r="J14" s="174"/>
      <c r="K14" s="175"/>
    </row>
    <row r="15" spans="1:15" x14ac:dyDescent="0.2">
      <c r="A15" s="173"/>
      <c r="B15" s="174"/>
      <c r="C15" s="174"/>
      <c r="D15" s="174"/>
      <c r="E15" s="174"/>
      <c r="F15" s="174"/>
      <c r="G15" s="174"/>
      <c r="H15" s="174"/>
      <c r="I15" s="174"/>
      <c r="J15" s="174"/>
      <c r="K15" s="175"/>
    </row>
    <row r="16" spans="1:15" x14ac:dyDescent="0.2">
      <c r="A16" s="173"/>
      <c r="B16" s="174"/>
      <c r="C16" s="174"/>
      <c r="D16" s="174"/>
      <c r="E16" s="174"/>
      <c r="F16" s="174"/>
      <c r="G16" s="174"/>
      <c r="H16" s="174"/>
      <c r="I16" s="174"/>
      <c r="J16" s="174"/>
      <c r="K16" s="175"/>
    </row>
    <row r="17" spans="1:11" x14ac:dyDescent="0.2">
      <c r="A17" s="173"/>
      <c r="B17" s="174"/>
      <c r="C17" s="174"/>
      <c r="D17" s="174"/>
      <c r="E17" s="174"/>
      <c r="F17" s="174"/>
      <c r="G17" s="174"/>
      <c r="H17" s="174"/>
      <c r="I17" s="174"/>
      <c r="J17" s="174"/>
      <c r="K17" s="175"/>
    </row>
    <row r="18" spans="1:11" x14ac:dyDescent="0.2">
      <c r="A18" s="173"/>
      <c r="B18" s="174"/>
      <c r="C18" s="174"/>
      <c r="D18" s="174"/>
      <c r="E18" s="174"/>
      <c r="F18" s="174"/>
      <c r="G18" s="174"/>
      <c r="H18" s="174"/>
      <c r="I18" s="174"/>
      <c r="J18" s="174"/>
      <c r="K18" s="175"/>
    </row>
    <row r="19" spans="1:11" x14ac:dyDescent="0.2">
      <c r="A19" s="173"/>
      <c r="B19" s="174"/>
      <c r="C19" s="174"/>
      <c r="D19" s="174"/>
      <c r="E19" s="174"/>
      <c r="F19" s="174"/>
      <c r="G19" s="174"/>
      <c r="H19" s="174"/>
      <c r="I19" s="174"/>
      <c r="J19" s="174"/>
      <c r="K19" s="175"/>
    </row>
    <row r="20" spans="1:11" x14ac:dyDescent="0.2">
      <c r="A20" s="173"/>
      <c r="B20" s="174"/>
      <c r="C20" s="174"/>
      <c r="D20" s="174"/>
      <c r="E20" s="174"/>
      <c r="F20" s="174"/>
      <c r="G20" s="174"/>
      <c r="H20" s="174"/>
      <c r="I20" s="174"/>
      <c r="J20" s="174"/>
      <c r="K20" s="175"/>
    </row>
    <row r="21" spans="1:11" x14ac:dyDescent="0.2">
      <c r="A21" s="173"/>
      <c r="B21" s="174"/>
      <c r="C21" s="174"/>
      <c r="D21" s="174"/>
      <c r="E21" s="174"/>
      <c r="F21" s="174"/>
      <c r="G21" s="174"/>
      <c r="H21" s="174"/>
      <c r="I21" s="174"/>
      <c r="J21" s="174"/>
      <c r="K21" s="175"/>
    </row>
    <row r="22" spans="1:11" x14ac:dyDescent="0.2">
      <c r="A22" s="173"/>
      <c r="B22" s="174"/>
      <c r="C22" s="174"/>
      <c r="D22" s="174"/>
      <c r="E22" s="174"/>
      <c r="F22" s="174"/>
      <c r="G22" s="174"/>
      <c r="H22" s="174"/>
      <c r="I22" s="174"/>
      <c r="J22" s="174"/>
      <c r="K22" s="175"/>
    </row>
    <row r="23" spans="1:11" x14ac:dyDescent="0.2">
      <c r="A23" s="173"/>
      <c r="B23" s="174"/>
      <c r="C23" s="174"/>
      <c r="D23" s="174"/>
      <c r="E23" s="174"/>
      <c r="F23" s="174"/>
      <c r="G23" s="174"/>
      <c r="H23" s="174"/>
      <c r="I23" s="174"/>
      <c r="J23" s="174"/>
      <c r="K23" s="175"/>
    </row>
    <row r="24" spans="1:11" x14ac:dyDescent="0.2">
      <c r="A24" s="173"/>
      <c r="B24" s="174"/>
      <c r="C24" s="174"/>
      <c r="D24" s="174"/>
      <c r="E24" s="174"/>
      <c r="F24" s="174"/>
      <c r="G24" s="174"/>
      <c r="H24" s="174"/>
      <c r="I24" s="174"/>
      <c r="J24" s="174"/>
      <c r="K24" s="175"/>
    </row>
  </sheetData>
  <mergeCells count="3">
    <mergeCell ref="A1:D1"/>
    <mergeCell ref="A3:K3"/>
    <mergeCell ref="A8:K24"/>
  </mergeCells>
  <pageMargins left="0.7" right="0.7" top="0.75" bottom="0.75" header="0.3" footer="0.3"/>
  <pageSetup paperSize="9" scale="9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1</vt:i4>
      </vt:variant>
    </vt:vector>
  </HeadingPairs>
  <TitlesOfParts>
    <vt:vector size="10" baseType="lpstr">
      <vt:lpstr>Anagrafica</vt:lpstr>
      <vt:lpstr>Esercizio 1</vt:lpstr>
      <vt:lpstr>Esercizio 1 soluzione</vt:lpstr>
      <vt:lpstr>Esercizio 2</vt:lpstr>
      <vt:lpstr>Esercizio 2 soluzione</vt:lpstr>
      <vt:lpstr>Domanda 1</vt:lpstr>
      <vt:lpstr>Domanda 1 soluzione</vt:lpstr>
      <vt:lpstr>Domanda 2</vt:lpstr>
      <vt:lpstr>Domanda 2 soluzione</vt:lpstr>
      <vt:lpstr>'Domanda 1 soluzione'!Area_stampa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Ghezzi</dc:creator>
  <cp:lastModifiedBy>GIULIA DE ROSA</cp:lastModifiedBy>
  <cp:lastPrinted>2022-05-23T15:59:01Z</cp:lastPrinted>
  <dcterms:created xsi:type="dcterms:W3CDTF">2021-05-24T10:30:56Z</dcterms:created>
  <dcterms:modified xsi:type="dcterms:W3CDTF">2025-05-22T08:43:40Z</dcterms:modified>
</cp:coreProperties>
</file>